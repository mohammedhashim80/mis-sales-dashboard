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Sales Data" sheetId="1" state="visible" r:id="rId3"/>
    <sheet name="MIS Dashboard" sheetId="2" state="visible" r:id="rId4"/>
    <sheet name="Rep Perform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<sst xmlns="http://schemas.openxmlformats.org/spreadsheetml/2006/main" count="1532" uniqueCount="317">
  <si>
    <t xml:space="preserve">Transaction ID</t>
  </si>
  <si>
    <t xml:space="preserve">Month</t>
  </si>
  <si>
    <t xml:space="preserve">Region</t>
  </si>
  <si>
    <t xml:space="preserve">Category</t>
  </si>
  <si>
    <t xml:space="preserve">Sales Rep</t>
  </si>
  <si>
    <t xml:space="preserve">Channel</t>
  </si>
  <si>
    <t xml:space="preserve">Units Sold</t>
  </si>
  <si>
    <t xml:space="preserve">Unit Price (AED)</t>
  </si>
  <si>
    <t xml:space="preserve">Revenue (AED)</t>
  </si>
  <si>
    <t xml:space="preserve">Cost (AED)</t>
  </si>
  <si>
    <t xml:space="preserve">Gross Profit (AED)</t>
  </si>
  <si>
    <t xml:space="preserve">Gross Margin %</t>
  </si>
  <si>
    <t xml:space="preserve">Target (AED)</t>
  </si>
  <si>
    <t xml:space="preserve">Achievement %</t>
  </si>
  <si>
    <t xml:space="preserve">TXN-2024-0001</t>
  </si>
  <si>
    <t xml:space="preserve">Jan</t>
  </si>
  <si>
    <t xml:space="preserve">Dubai</t>
  </si>
  <si>
    <t xml:space="preserve">Electronics</t>
  </si>
  <si>
    <t xml:space="preserve">Omar Yousef</t>
  </si>
  <si>
    <t xml:space="preserve">Retail Store</t>
  </si>
  <si>
    <t xml:space="preserve">TXN-2024-0002</t>
  </si>
  <si>
    <t xml:space="preserve">Jeddah</t>
  </si>
  <si>
    <t xml:space="preserve">Rami Nasser</t>
  </si>
  <si>
    <t xml:space="preserve">Online</t>
  </si>
  <si>
    <t xml:space="preserve">TXN-2024-0003</t>
  </si>
  <si>
    <t xml:space="preserve">Furniture</t>
  </si>
  <si>
    <t xml:space="preserve">TXN-2024-0004</t>
  </si>
  <si>
    <t xml:space="preserve">Abu Dhabi</t>
  </si>
  <si>
    <t xml:space="preserve">Food &amp; Beverage</t>
  </si>
  <si>
    <t xml:space="preserve">Layla Ibrahim</t>
  </si>
  <si>
    <t xml:space="preserve">Wholesale</t>
  </si>
  <si>
    <t xml:space="preserve">TXN-2024-0005</t>
  </si>
  <si>
    <t xml:space="preserve">Riyadh</t>
  </si>
  <si>
    <t xml:space="preserve">TXN-2024-0006</t>
  </si>
  <si>
    <t xml:space="preserve">Sara Mohammed</t>
  </si>
  <si>
    <t xml:space="preserve">TXN-2024-0007</t>
  </si>
  <si>
    <t xml:space="preserve">Ahmed Al-Rashid</t>
  </si>
  <si>
    <t xml:space="preserve">TXN-2024-0008</t>
  </si>
  <si>
    <t xml:space="preserve">Direct Sales</t>
  </si>
  <si>
    <t xml:space="preserve">TXN-2024-0009</t>
  </si>
  <si>
    <t xml:space="preserve">Sharjah</t>
  </si>
  <si>
    <t xml:space="preserve">Khalid Hassan</t>
  </si>
  <si>
    <t xml:space="preserve">TXN-2024-0010</t>
  </si>
  <si>
    <t xml:space="preserve">TXN-2024-0011</t>
  </si>
  <si>
    <t xml:space="preserve">TXN-2024-0012</t>
  </si>
  <si>
    <t xml:space="preserve">Clothing</t>
  </si>
  <si>
    <t xml:space="preserve">TXN-2024-0013</t>
  </si>
  <si>
    <t xml:space="preserve">TXN-2024-0014</t>
  </si>
  <si>
    <t xml:space="preserve">TXN-2024-0015</t>
  </si>
  <si>
    <t xml:space="preserve">TXN-2024-0016</t>
  </si>
  <si>
    <t xml:space="preserve">TXN-2024-0017</t>
  </si>
  <si>
    <t xml:space="preserve">Automotive</t>
  </si>
  <si>
    <t xml:space="preserve">TXN-2024-0018</t>
  </si>
  <si>
    <t xml:space="preserve">TXN-2024-0019</t>
  </si>
  <si>
    <t xml:space="preserve">Hana Saeed</t>
  </si>
  <si>
    <t xml:space="preserve">TXN-2024-0020</t>
  </si>
  <si>
    <t xml:space="preserve">TXN-2024-0021</t>
  </si>
  <si>
    <t xml:space="preserve">Feb</t>
  </si>
  <si>
    <t xml:space="preserve">TXN-2024-0022</t>
  </si>
  <si>
    <t xml:space="preserve">Fatima Al-Ali</t>
  </si>
  <si>
    <t xml:space="preserve">TXN-2024-0023</t>
  </si>
  <si>
    <t xml:space="preserve">TXN-2024-0024</t>
  </si>
  <si>
    <t xml:space="preserve">TXN-2024-0025</t>
  </si>
  <si>
    <t xml:space="preserve">TXN-2024-0026</t>
  </si>
  <si>
    <t xml:space="preserve">TXN-2024-0027</t>
  </si>
  <si>
    <t xml:space="preserve">TXN-2024-0028</t>
  </si>
  <si>
    <t xml:space="preserve">TXN-2024-0029</t>
  </si>
  <si>
    <t xml:space="preserve">TXN-2024-0030</t>
  </si>
  <si>
    <t xml:space="preserve">TXN-2024-0031</t>
  </si>
  <si>
    <t xml:space="preserve">TXN-2024-0032</t>
  </si>
  <si>
    <t xml:space="preserve">TXN-2024-0033</t>
  </si>
  <si>
    <t xml:space="preserve">TXN-2024-0034</t>
  </si>
  <si>
    <t xml:space="preserve">TXN-2024-0035</t>
  </si>
  <si>
    <t xml:space="preserve">TXN-2024-0036</t>
  </si>
  <si>
    <t xml:space="preserve">TXN-2024-0037</t>
  </si>
  <si>
    <t xml:space="preserve">TXN-2024-0038</t>
  </si>
  <si>
    <t xml:space="preserve">TXN-2024-0039</t>
  </si>
  <si>
    <t xml:space="preserve">TXN-2024-0040</t>
  </si>
  <si>
    <t xml:space="preserve">TXN-2024-0041</t>
  </si>
  <si>
    <t xml:space="preserve">Mar</t>
  </si>
  <si>
    <t xml:space="preserve">TXN-2024-0042</t>
  </si>
  <si>
    <t xml:space="preserve">TXN-2024-0043</t>
  </si>
  <si>
    <t xml:space="preserve">TXN-2024-0044</t>
  </si>
  <si>
    <t xml:space="preserve">TXN-2024-0045</t>
  </si>
  <si>
    <t xml:space="preserve">TXN-2024-0046</t>
  </si>
  <si>
    <t xml:space="preserve">TXN-2024-0047</t>
  </si>
  <si>
    <t xml:space="preserve">TXN-2024-0048</t>
  </si>
  <si>
    <t xml:space="preserve">TXN-2024-0049</t>
  </si>
  <si>
    <t xml:space="preserve">TXN-2024-0050</t>
  </si>
  <si>
    <t xml:space="preserve">TXN-2024-0051</t>
  </si>
  <si>
    <t xml:space="preserve">TXN-2024-0052</t>
  </si>
  <si>
    <t xml:space="preserve">TXN-2024-0053</t>
  </si>
  <si>
    <t xml:space="preserve">TXN-2024-0054</t>
  </si>
  <si>
    <t xml:space="preserve">TXN-2024-0055</t>
  </si>
  <si>
    <t xml:space="preserve">TXN-2024-0056</t>
  </si>
  <si>
    <t xml:space="preserve">TXN-2024-0057</t>
  </si>
  <si>
    <t xml:space="preserve">TXN-2024-0058</t>
  </si>
  <si>
    <t xml:space="preserve">TXN-2024-0059</t>
  </si>
  <si>
    <t xml:space="preserve">TXN-2024-0060</t>
  </si>
  <si>
    <t xml:space="preserve">TXN-2024-0061</t>
  </si>
  <si>
    <t xml:space="preserve">Apr</t>
  </si>
  <si>
    <t xml:space="preserve">TXN-2024-0062</t>
  </si>
  <si>
    <t xml:space="preserve">TXN-2024-0063</t>
  </si>
  <si>
    <t xml:space="preserve">TXN-2024-0064</t>
  </si>
  <si>
    <t xml:space="preserve">TXN-2024-0065</t>
  </si>
  <si>
    <t xml:space="preserve">TXN-2024-0066</t>
  </si>
  <si>
    <t xml:space="preserve">TXN-2024-0067</t>
  </si>
  <si>
    <t xml:space="preserve">TXN-2024-0068</t>
  </si>
  <si>
    <t xml:space="preserve">TXN-2024-0069</t>
  </si>
  <si>
    <t xml:space="preserve">TXN-2024-0070</t>
  </si>
  <si>
    <t xml:space="preserve">TXN-2024-0071</t>
  </si>
  <si>
    <t xml:space="preserve">TXN-2024-0072</t>
  </si>
  <si>
    <t xml:space="preserve">TXN-2024-0073</t>
  </si>
  <si>
    <t xml:space="preserve">TXN-2024-0074</t>
  </si>
  <si>
    <t xml:space="preserve">TXN-2024-0075</t>
  </si>
  <si>
    <t xml:space="preserve">TXN-2024-0076</t>
  </si>
  <si>
    <t xml:space="preserve">TXN-2024-0077</t>
  </si>
  <si>
    <t xml:space="preserve">TXN-2024-0078</t>
  </si>
  <si>
    <t xml:space="preserve">TXN-2024-0079</t>
  </si>
  <si>
    <t xml:space="preserve">TXN-2024-0080</t>
  </si>
  <si>
    <t xml:space="preserve">TXN-2024-0081</t>
  </si>
  <si>
    <t xml:space="preserve">May</t>
  </si>
  <si>
    <t xml:space="preserve">TXN-2024-0082</t>
  </si>
  <si>
    <t xml:space="preserve">TXN-2024-0083</t>
  </si>
  <si>
    <t xml:space="preserve">TXN-2024-0084</t>
  </si>
  <si>
    <t xml:space="preserve">TXN-2024-0085</t>
  </si>
  <si>
    <t xml:space="preserve">TXN-2024-0086</t>
  </si>
  <si>
    <t xml:space="preserve">TXN-2024-0087</t>
  </si>
  <si>
    <t xml:space="preserve">TXN-2024-0088</t>
  </si>
  <si>
    <t xml:space="preserve">TXN-2024-0089</t>
  </si>
  <si>
    <t xml:space="preserve">TXN-2024-0090</t>
  </si>
  <si>
    <t xml:space="preserve">TXN-2024-0091</t>
  </si>
  <si>
    <t xml:space="preserve">TXN-2024-0092</t>
  </si>
  <si>
    <t xml:space="preserve">TXN-2024-0093</t>
  </si>
  <si>
    <t xml:space="preserve">TXN-2024-0094</t>
  </si>
  <si>
    <t xml:space="preserve">TXN-2024-0095</t>
  </si>
  <si>
    <t xml:space="preserve">TXN-2024-0096</t>
  </si>
  <si>
    <t xml:space="preserve">TXN-2024-0097</t>
  </si>
  <si>
    <t xml:space="preserve">TXN-2024-0098</t>
  </si>
  <si>
    <t xml:space="preserve">TXN-2024-0099</t>
  </si>
  <si>
    <t xml:space="preserve">TXN-2024-0100</t>
  </si>
  <si>
    <t xml:space="preserve">TXN-2024-0101</t>
  </si>
  <si>
    <t xml:space="preserve">Jun</t>
  </si>
  <si>
    <t xml:space="preserve">TXN-2024-0102</t>
  </si>
  <si>
    <t xml:space="preserve">TXN-2024-0103</t>
  </si>
  <si>
    <t xml:space="preserve">TXN-2024-0104</t>
  </si>
  <si>
    <t xml:space="preserve">TXN-2024-0105</t>
  </si>
  <si>
    <t xml:space="preserve">TXN-2024-0106</t>
  </si>
  <si>
    <t xml:space="preserve">TXN-2024-0107</t>
  </si>
  <si>
    <t xml:space="preserve">TXN-2024-0108</t>
  </si>
  <si>
    <t xml:space="preserve">TXN-2024-0109</t>
  </si>
  <si>
    <t xml:space="preserve">TXN-2024-0110</t>
  </si>
  <si>
    <t xml:space="preserve">TXN-2024-0111</t>
  </si>
  <si>
    <t xml:space="preserve">TXN-2024-0112</t>
  </si>
  <si>
    <t xml:space="preserve">TXN-2024-0113</t>
  </si>
  <si>
    <t xml:space="preserve">TXN-2024-0114</t>
  </si>
  <si>
    <t xml:space="preserve">TXN-2024-0115</t>
  </si>
  <si>
    <t xml:space="preserve">TXN-2024-0116</t>
  </si>
  <si>
    <t xml:space="preserve">TXN-2024-0117</t>
  </si>
  <si>
    <t xml:space="preserve">TXN-2024-0118</t>
  </si>
  <si>
    <t xml:space="preserve">TXN-2024-0119</t>
  </si>
  <si>
    <t xml:space="preserve">TXN-2024-0120</t>
  </si>
  <si>
    <t xml:space="preserve">TXN-2024-0121</t>
  </si>
  <si>
    <t xml:space="preserve">Jul</t>
  </si>
  <si>
    <t xml:space="preserve">TXN-2024-0122</t>
  </si>
  <si>
    <t xml:space="preserve">TXN-2024-0123</t>
  </si>
  <si>
    <t xml:space="preserve">TXN-2024-0124</t>
  </si>
  <si>
    <t xml:space="preserve">TXN-2024-0125</t>
  </si>
  <si>
    <t xml:space="preserve">TXN-2024-0126</t>
  </si>
  <si>
    <t xml:space="preserve">TXN-2024-0127</t>
  </si>
  <si>
    <t xml:space="preserve">TXN-2024-0128</t>
  </si>
  <si>
    <t xml:space="preserve">TXN-2024-0129</t>
  </si>
  <si>
    <t xml:space="preserve">TXN-2024-0130</t>
  </si>
  <si>
    <t xml:space="preserve">TXN-2024-0131</t>
  </si>
  <si>
    <t xml:space="preserve">TXN-2024-0132</t>
  </si>
  <si>
    <t xml:space="preserve">TXN-2024-0133</t>
  </si>
  <si>
    <t xml:space="preserve">TXN-2024-0134</t>
  </si>
  <si>
    <t xml:space="preserve">TXN-2024-0135</t>
  </si>
  <si>
    <t xml:space="preserve">TXN-2024-0136</t>
  </si>
  <si>
    <t xml:space="preserve">TXN-2024-0137</t>
  </si>
  <si>
    <t xml:space="preserve">TXN-2024-0138</t>
  </si>
  <si>
    <t xml:space="preserve">TXN-2024-0139</t>
  </si>
  <si>
    <t xml:space="preserve">TXN-2024-0140</t>
  </si>
  <si>
    <t xml:space="preserve">TXN-2024-0141</t>
  </si>
  <si>
    <t xml:space="preserve">Aug</t>
  </si>
  <si>
    <t xml:space="preserve">TXN-2024-0142</t>
  </si>
  <si>
    <t xml:space="preserve">TXN-2024-0143</t>
  </si>
  <si>
    <t xml:space="preserve">TXN-2024-0144</t>
  </si>
  <si>
    <t xml:space="preserve">TXN-2024-0145</t>
  </si>
  <si>
    <t xml:space="preserve">TXN-2024-0146</t>
  </si>
  <si>
    <t xml:space="preserve">TXN-2024-0147</t>
  </si>
  <si>
    <t xml:space="preserve">TXN-2024-0148</t>
  </si>
  <si>
    <t xml:space="preserve">TXN-2024-0149</t>
  </si>
  <si>
    <t xml:space="preserve">TXN-2024-0150</t>
  </si>
  <si>
    <t xml:space="preserve">TXN-2024-0151</t>
  </si>
  <si>
    <t xml:space="preserve">TXN-2024-0152</t>
  </si>
  <si>
    <t xml:space="preserve">TXN-2024-0153</t>
  </si>
  <si>
    <t xml:space="preserve">TXN-2024-0154</t>
  </si>
  <si>
    <t xml:space="preserve">TXN-2024-0155</t>
  </si>
  <si>
    <t xml:space="preserve">TXN-2024-0156</t>
  </si>
  <si>
    <t xml:space="preserve">TXN-2024-0157</t>
  </si>
  <si>
    <t xml:space="preserve">TXN-2024-0158</t>
  </si>
  <si>
    <t xml:space="preserve">TXN-2024-0159</t>
  </si>
  <si>
    <t xml:space="preserve">TXN-2024-0160</t>
  </si>
  <si>
    <t xml:space="preserve">TXN-2024-0161</t>
  </si>
  <si>
    <t xml:space="preserve">Sep</t>
  </si>
  <si>
    <t xml:space="preserve">TXN-2024-0162</t>
  </si>
  <si>
    <t xml:space="preserve">TXN-2024-0163</t>
  </si>
  <si>
    <t xml:space="preserve">TXN-2024-0164</t>
  </si>
  <si>
    <t xml:space="preserve">TXN-2024-0165</t>
  </si>
  <si>
    <t xml:space="preserve">TXN-2024-0166</t>
  </si>
  <si>
    <t xml:space="preserve">TXN-2024-0167</t>
  </si>
  <si>
    <t xml:space="preserve">TXN-2024-0168</t>
  </si>
  <si>
    <t xml:space="preserve">TXN-2024-0169</t>
  </si>
  <si>
    <t xml:space="preserve">TXN-2024-0170</t>
  </si>
  <si>
    <t xml:space="preserve">TXN-2024-0171</t>
  </si>
  <si>
    <t xml:space="preserve">TXN-2024-0172</t>
  </si>
  <si>
    <t xml:space="preserve">TXN-2024-0173</t>
  </si>
  <si>
    <t xml:space="preserve">TXN-2024-0174</t>
  </si>
  <si>
    <t xml:space="preserve">TXN-2024-0175</t>
  </si>
  <si>
    <t xml:space="preserve">TXN-2024-0176</t>
  </si>
  <si>
    <t xml:space="preserve">TXN-2024-0177</t>
  </si>
  <si>
    <t xml:space="preserve">TXN-2024-0178</t>
  </si>
  <si>
    <t xml:space="preserve">TXN-2024-0179</t>
  </si>
  <si>
    <t xml:space="preserve">TXN-2024-0180</t>
  </si>
  <si>
    <t xml:space="preserve">TXN-2024-0181</t>
  </si>
  <si>
    <t xml:space="preserve">Oct</t>
  </si>
  <si>
    <t xml:space="preserve">TXN-2024-0182</t>
  </si>
  <si>
    <t xml:space="preserve">TXN-2024-0183</t>
  </si>
  <si>
    <t xml:space="preserve">TXN-2024-0184</t>
  </si>
  <si>
    <t xml:space="preserve">TXN-2024-0185</t>
  </si>
  <si>
    <t xml:space="preserve">TXN-2024-0186</t>
  </si>
  <si>
    <t xml:space="preserve">TXN-2024-0187</t>
  </si>
  <si>
    <t xml:space="preserve">TXN-2024-0188</t>
  </si>
  <si>
    <t xml:space="preserve">TXN-2024-0189</t>
  </si>
  <si>
    <t xml:space="preserve">TXN-2024-0190</t>
  </si>
  <si>
    <t xml:space="preserve">TXN-2024-0191</t>
  </si>
  <si>
    <t xml:space="preserve">TXN-2024-0192</t>
  </si>
  <si>
    <t xml:space="preserve">TXN-2024-0193</t>
  </si>
  <si>
    <t xml:space="preserve">TXN-2024-0194</t>
  </si>
  <si>
    <t xml:space="preserve">TXN-2024-0195</t>
  </si>
  <si>
    <t xml:space="preserve">TXN-2024-0196</t>
  </si>
  <si>
    <t xml:space="preserve">TXN-2024-0197</t>
  </si>
  <si>
    <t xml:space="preserve">TXN-2024-0198</t>
  </si>
  <si>
    <t xml:space="preserve">TXN-2024-0199</t>
  </si>
  <si>
    <t xml:space="preserve">TXN-2024-0200</t>
  </si>
  <si>
    <t xml:space="preserve">TXN-2024-0201</t>
  </si>
  <si>
    <t xml:space="preserve">Nov</t>
  </si>
  <si>
    <t xml:space="preserve">TXN-2024-0202</t>
  </si>
  <si>
    <t xml:space="preserve">TXN-2024-0203</t>
  </si>
  <si>
    <t xml:space="preserve">TXN-2024-0204</t>
  </si>
  <si>
    <t xml:space="preserve">TXN-2024-0205</t>
  </si>
  <si>
    <t xml:space="preserve">TXN-2024-0206</t>
  </si>
  <si>
    <t xml:space="preserve">TXN-2024-0207</t>
  </si>
  <si>
    <t xml:space="preserve">TXN-2024-0208</t>
  </si>
  <si>
    <t xml:space="preserve">TXN-2024-0209</t>
  </si>
  <si>
    <t xml:space="preserve">TXN-2024-0210</t>
  </si>
  <si>
    <t xml:space="preserve">TXN-2024-0211</t>
  </si>
  <si>
    <t xml:space="preserve">TXN-2024-0212</t>
  </si>
  <si>
    <t xml:space="preserve">TXN-2024-0213</t>
  </si>
  <si>
    <t xml:space="preserve">TXN-2024-0214</t>
  </si>
  <si>
    <t xml:space="preserve">TXN-2024-0215</t>
  </si>
  <si>
    <t xml:space="preserve">TXN-2024-0216</t>
  </si>
  <si>
    <t xml:space="preserve">TXN-2024-0217</t>
  </si>
  <si>
    <t xml:space="preserve">TXN-2024-0218</t>
  </si>
  <si>
    <t xml:space="preserve">TXN-2024-0219</t>
  </si>
  <si>
    <t xml:space="preserve">TXN-2024-0220</t>
  </si>
  <si>
    <t xml:space="preserve">TXN-2024-0221</t>
  </si>
  <si>
    <t xml:space="preserve">Dec</t>
  </si>
  <si>
    <t xml:space="preserve">TXN-2024-0222</t>
  </si>
  <si>
    <t xml:space="preserve">TXN-2024-0223</t>
  </si>
  <si>
    <t xml:space="preserve">TXN-2024-0224</t>
  </si>
  <si>
    <t xml:space="preserve">TXN-2024-0225</t>
  </si>
  <si>
    <t xml:space="preserve">TXN-2024-0226</t>
  </si>
  <si>
    <t xml:space="preserve">TXN-2024-0227</t>
  </si>
  <si>
    <t xml:space="preserve">TXN-2024-0228</t>
  </si>
  <si>
    <t xml:space="preserve">TXN-2024-0229</t>
  </si>
  <si>
    <t xml:space="preserve">TXN-2024-0230</t>
  </si>
  <si>
    <t xml:space="preserve">TXN-2024-0231</t>
  </si>
  <si>
    <t xml:space="preserve">TXN-2024-0232</t>
  </si>
  <si>
    <t xml:space="preserve">TXN-2024-0233</t>
  </si>
  <si>
    <t xml:space="preserve">TXN-2024-0234</t>
  </si>
  <si>
    <t xml:space="preserve">TXN-2024-0235</t>
  </si>
  <si>
    <t xml:space="preserve">TXN-2024-0236</t>
  </si>
  <si>
    <t xml:space="preserve">TXN-2024-0237</t>
  </si>
  <si>
    <t xml:space="preserve">TXN-2024-0238</t>
  </si>
  <si>
    <t xml:space="preserve">TXN-2024-0239</t>
  </si>
  <si>
    <t xml:space="preserve">TXN-2024-0240</t>
  </si>
  <si>
    <t xml:space="preserve">MONTHLY SALES MIS REPORT — FY 2024</t>
  </si>
  <si>
    <t xml:space="preserve">Company: Al-Rashid Trading LLC  |  Region: UAE &amp; KSA  |  Currency: AED</t>
  </si>
  <si>
    <t xml:space="preserve">KEY PERFORMANCE INDICATORS</t>
  </si>
  <si>
    <t xml:space="preserve">KPI</t>
  </si>
  <si>
    <t xml:space="preserve">Value</t>
  </si>
  <si>
    <t xml:space="preserve">Target</t>
  </si>
  <si>
    <t xml:space="preserve">Variance</t>
  </si>
  <si>
    <t xml:space="preserve">Status</t>
  </si>
  <si>
    <t xml:space="preserve">Total Revenue (AED)</t>
  </si>
  <si>
    <t xml:space="preserve">5,000,000</t>
  </si>
  <si>
    <t xml:space="preserve">Total Units Sold</t>
  </si>
  <si>
    <t xml:space="preserve">50,000</t>
  </si>
  <si>
    <t xml:space="preserve">Avg Gross Margin %</t>
  </si>
  <si>
    <t xml:space="preserve">35%</t>
  </si>
  <si>
    <t xml:space="preserve">No. of Transactions</t>
  </si>
  <si>
    <t xml:space="preserve">20</t>
  </si>
  <si>
    <t xml:space="preserve">MONTHLY REVENUE TREND (AED)</t>
  </si>
  <si>
    <t xml:space="preserve">Transactions</t>
  </si>
  <si>
    <t xml:space="preserve">TOTAL / AVG</t>
  </si>
  <si>
    <t xml:space="preserve">REVENUE BY REGION (AED)</t>
  </si>
  <si>
    <t xml:space="preserve">REVENUE BY CATEGORY (AED)</t>
  </si>
  <si>
    <t xml:space="preserve">Revenue</t>
  </si>
  <si>
    <t xml:space="preserve">Gross Profit</t>
  </si>
  <si>
    <t xml:space="preserve">Margin %</t>
  </si>
  <si>
    <t xml:space="preserve">Units</t>
  </si>
  <si>
    <t xml:space="preserve">SALES REP PERFORMANCE REPORT — FY 2024</t>
  </si>
  <si>
    <t xml:space="preserve">Avg Deal Size (AED)</t>
  </si>
  <si>
    <t xml:space="preserve">Avg Margin %</t>
  </si>
  <si>
    <t xml:space="preserve">Performance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</si>
</sst>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General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1F3864"/>
      </patternFill>
    </fill>
    <fill>
      <patternFill patternType="solid">
        <fgColor rgb="FFD6E4F0"/>
        <bgColor rgb="FFF2F2F2"/>
      </patternFill>
    </fill>
    <fill>
      <patternFill patternType="solid">
        <fgColor rgb="FFF4B942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4" min="12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n">
        <v>124</v>
      </c>
      <c r="H2" s="4" t="n">
        <v>322.1</v>
      </c>
      <c r="I2" s="4" t="n">
        <v>39940.4</v>
      </c>
      <c r="J2" s="4" t="n">
        <v>18996.6045835901</v>
      </c>
      <c r="K2" s="4" t="n">
        <v>20943.7954164099</v>
      </c>
      <c r="L2" s="5" t="n">
        <f aca="false">K2/I2</f>
        <v>0.524376205957123</v>
      </c>
      <c r="M2" s="4" t="n">
        <v>44303.2380961937</v>
      </c>
      <c r="N2" s="5" t="n">
        <f aca="false">I2/M2</f>
        <v>0.901523268192703</v>
      </c>
    </row>
    <row r="3" customFormat="false" ht="15" hidden="false" customHeight="false" outlineLevel="0" collapsed="false">
      <c r="A3" s="6" t="s">
        <v>20</v>
      </c>
      <c r="B3" s="7" t="s">
        <v>15</v>
      </c>
      <c r="C3" s="7" t="s">
        <v>21</v>
      </c>
      <c r="D3" s="7" t="s">
        <v>17</v>
      </c>
      <c r="E3" s="7" t="s">
        <v>22</v>
      </c>
      <c r="F3" s="7" t="s">
        <v>23</v>
      </c>
      <c r="G3" s="7" t="n">
        <v>25</v>
      </c>
      <c r="H3" s="8" t="n">
        <v>232.71</v>
      </c>
      <c r="I3" s="8" t="n">
        <v>5817.75</v>
      </c>
      <c r="J3" s="8" t="n">
        <v>2956.37822813099</v>
      </c>
      <c r="K3" s="8" t="n">
        <v>2861.37177186901</v>
      </c>
      <c r="L3" s="9" t="n">
        <f aca="false">K3/I3</f>
        <v>0.491834776652315</v>
      </c>
      <c r="M3" s="8" t="n">
        <v>6170.92556132568</v>
      </c>
      <c r="N3" s="9" t="n">
        <f aca="false">I3/M3</f>
        <v>0.942767813707056</v>
      </c>
    </row>
    <row r="4" customFormat="false" ht="15" hidden="false" customHeight="false" outlineLevel="0" collapsed="false">
      <c r="A4" s="2" t="s">
        <v>24</v>
      </c>
      <c r="B4" s="3" t="s">
        <v>15</v>
      </c>
      <c r="C4" s="3" t="s">
        <v>21</v>
      </c>
      <c r="D4" s="3" t="s">
        <v>25</v>
      </c>
      <c r="E4" s="3" t="s">
        <v>22</v>
      </c>
      <c r="F4" s="3" t="s">
        <v>19</v>
      </c>
      <c r="G4" s="3" t="n">
        <v>239</v>
      </c>
      <c r="H4" s="4" t="n">
        <v>1199.07</v>
      </c>
      <c r="I4" s="4" t="n">
        <v>286577.73</v>
      </c>
      <c r="J4" s="4" t="n">
        <v>186951.164216899</v>
      </c>
      <c r="K4" s="4" t="n">
        <v>99626.5657831013</v>
      </c>
      <c r="L4" s="5" t="n">
        <f aca="false">K4/I4</f>
        <v>0.347642385830543</v>
      </c>
      <c r="M4" s="4" t="n">
        <v>244242.910428724</v>
      </c>
      <c r="N4" s="5" t="n">
        <f aca="false">I4/M4</f>
        <v>1.17333080209765</v>
      </c>
    </row>
    <row r="5" customFormat="false" ht="15" hidden="false" customHeight="false" outlineLevel="0" collapsed="false">
      <c r="A5" s="6" t="s">
        <v>26</v>
      </c>
      <c r="B5" s="7" t="s">
        <v>15</v>
      </c>
      <c r="C5" s="7" t="s">
        <v>27</v>
      </c>
      <c r="D5" s="7" t="s">
        <v>28</v>
      </c>
      <c r="E5" s="7" t="s">
        <v>29</v>
      </c>
      <c r="F5" s="7" t="s">
        <v>30</v>
      </c>
      <c r="G5" s="7" t="n">
        <v>89</v>
      </c>
      <c r="H5" s="8" t="n">
        <v>469.86</v>
      </c>
      <c r="I5" s="8" t="n">
        <v>41817.54</v>
      </c>
      <c r="J5" s="8" t="n">
        <v>26799.7545698739</v>
      </c>
      <c r="K5" s="8" t="n">
        <v>15017.7854301261</v>
      </c>
      <c r="L5" s="9" t="n">
        <f aca="false">K5/I5</f>
        <v>0.359126467748369</v>
      </c>
      <c r="M5" s="8" t="n">
        <v>37040.8728143729</v>
      </c>
      <c r="N5" s="9" t="n">
        <f aca="false">I5/M5</f>
        <v>1.12895665848818</v>
      </c>
    </row>
    <row r="6" customFormat="false" ht="15" hidden="false" customHeight="false" outlineLevel="0" collapsed="false">
      <c r="A6" s="2" t="s">
        <v>31</v>
      </c>
      <c r="B6" s="3" t="s">
        <v>15</v>
      </c>
      <c r="C6" s="3" t="s">
        <v>32</v>
      </c>
      <c r="D6" s="3" t="s">
        <v>17</v>
      </c>
      <c r="E6" s="3" t="s">
        <v>29</v>
      </c>
      <c r="F6" s="3" t="s">
        <v>30</v>
      </c>
      <c r="G6" s="3" t="n">
        <v>319</v>
      </c>
      <c r="H6" s="4" t="n">
        <v>565.82</v>
      </c>
      <c r="I6" s="4" t="n">
        <v>180496.58</v>
      </c>
      <c r="J6" s="4" t="n">
        <v>83184.1250867761</v>
      </c>
      <c r="K6" s="4" t="n">
        <v>97312.454913224</v>
      </c>
      <c r="L6" s="5" t="n">
        <f aca="false">K6/I6</f>
        <v>0.539137389269226</v>
      </c>
      <c r="M6" s="4" t="n">
        <v>182445.709841688</v>
      </c>
      <c r="N6" s="5" t="n">
        <f aca="false">I6/M6</f>
        <v>0.98931665840003</v>
      </c>
    </row>
    <row r="7" customFormat="false" ht="15" hidden="false" customHeight="false" outlineLevel="0" collapsed="false">
      <c r="A7" s="6" t="s">
        <v>33</v>
      </c>
      <c r="B7" s="7" t="s">
        <v>15</v>
      </c>
      <c r="C7" s="7" t="s">
        <v>16</v>
      </c>
      <c r="D7" s="7" t="s">
        <v>28</v>
      </c>
      <c r="E7" s="7" t="s">
        <v>34</v>
      </c>
      <c r="F7" s="7" t="s">
        <v>30</v>
      </c>
      <c r="G7" s="7" t="n">
        <v>434</v>
      </c>
      <c r="H7" s="8" t="n">
        <v>1275.85</v>
      </c>
      <c r="I7" s="8" t="n">
        <v>553718.9</v>
      </c>
      <c r="J7" s="8" t="n">
        <v>371746.346967661</v>
      </c>
      <c r="K7" s="8" t="n">
        <v>181972.553032339</v>
      </c>
      <c r="L7" s="9" t="n">
        <f aca="false">K7/I7</f>
        <v>0.328637063015798</v>
      </c>
      <c r="M7" s="8" t="n">
        <v>540746.517111727</v>
      </c>
      <c r="N7" s="9" t="n">
        <f aca="false">I7/M7</f>
        <v>1.02398976688294</v>
      </c>
    </row>
    <row r="8" customFormat="false" ht="15" hidden="false" customHeight="false" outlineLevel="0" collapsed="false">
      <c r="A8" s="2" t="s">
        <v>35</v>
      </c>
      <c r="B8" s="3" t="s">
        <v>15</v>
      </c>
      <c r="C8" s="3" t="s">
        <v>27</v>
      </c>
      <c r="D8" s="3" t="s">
        <v>17</v>
      </c>
      <c r="E8" s="3" t="s">
        <v>36</v>
      </c>
      <c r="F8" s="3" t="s">
        <v>19</v>
      </c>
      <c r="G8" s="3" t="n">
        <v>405</v>
      </c>
      <c r="H8" s="4" t="n">
        <v>614.31</v>
      </c>
      <c r="I8" s="4" t="n">
        <v>248795.55</v>
      </c>
      <c r="J8" s="4" t="n">
        <v>116920.969696075</v>
      </c>
      <c r="K8" s="4" t="n">
        <v>131874.580303925</v>
      </c>
      <c r="L8" s="5" t="n">
        <f aca="false">K8/I8</f>
        <v>0.530052005769093</v>
      </c>
      <c r="M8" s="4" t="n">
        <v>231747.285312513</v>
      </c>
      <c r="N8" s="5" t="n">
        <f aca="false">I8/M8</f>
        <v>1.07356403189145</v>
      </c>
    </row>
    <row r="9" customFormat="false" ht="15" hidden="false" customHeight="false" outlineLevel="0" collapsed="false">
      <c r="A9" s="6" t="s">
        <v>37</v>
      </c>
      <c r="B9" s="7" t="s">
        <v>15</v>
      </c>
      <c r="C9" s="7" t="s">
        <v>16</v>
      </c>
      <c r="D9" s="7" t="s">
        <v>28</v>
      </c>
      <c r="E9" s="7" t="s">
        <v>18</v>
      </c>
      <c r="F9" s="7" t="s">
        <v>38</v>
      </c>
      <c r="G9" s="7" t="n">
        <v>335</v>
      </c>
      <c r="H9" s="8" t="n">
        <v>1676.52</v>
      </c>
      <c r="I9" s="8" t="n">
        <v>561634.2</v>
      </c>
      <c r="J9" s="8" t="n">
        <v>275573.415933245</v>
      </c>
      <c r="K9" s="8" t="n">
        <v>286060.784066755</v>
      </c>
      <c r="L9" s="9" t="n">
        <f aca="false">K9/I9</f>
        <v>0.509336475710979</v>
      </c>
      <c r="M9" s="8" t="n">
        <v>547225.331427003</v>
      </c>
      <c r="N9" s="9" t="n">
        <f aca="false">I9/M9</f>
        <v>1.02633077773542</v>
      </c>
    </row>
    <row r="10" customFormat="false" ht="15" hidden="false" customHeight="false" outlineLevel="0" collapsed="false">
      <c r="A10" s="2" t="s">
        <v>39</v>
      </c>
      <c r="B10" s="3" t="s">
        <v>15</v>
      </c>
      <c r="C10" s="3" t="s">
        <v>40</v>
      </c>
      <c r="D10" s="3" t="s">
        <v>17</v>
      </c>
      <c r="E10" s="3" t="s">
        <v>41</v>
      </c>
      <c r="F10" s="3" t="s">
        <v>19</v>
      </c>
      <c r="G10" s="3" t="n">
        <v>93</v>
      </c>
      <c r="H10" s="4" t="n">
        <v>951.41</v>
      </c>
      <c r="I10" s="4" t="n">
        <v>88481.13</v>
      </c>
      <c r="J10" s="4" t="n">
        <v>45787.8306887293</v>
      </c>
      <c r="K10" s="4" t="n">
        <v>42693.2993112707</v>
      </c>
      <c r="L10" s="5" t="n">
        <f aca="false">K10/I10</f>
        <v>0.48251304330393</v>
      </c>
      <c r="M10" s="4" t="n">
        <v>103866.840542721</v>
      </c>
      <c r="N10" s="5" t="n">
        <f aca="false">I10/M10</f>
        <v>0.851870813992911</v>
      </c>
    </row>
    <row r="11" customFormat="false" ht="15" hidden="false" customHeight="false" outlineLevel="0" collapsed="false">
      <c r="A11" s="6" t="s">
        <v>42</v>
      </c>
      <c r="B11" s="7" t="s">
        <v>15</v>
      </c>
      <c r="C11" s="7" t="s">
        <v>21</v>
      </c>
      <c r="D11" s="7" t="s">
        <v>25</v>
      </c>
      <c r="E11" s="7" t="s">
        <v>29</v>
      </c>
      <c r="F11" s="7" t="s">
        <v>23</v>
      </c>
      <c r="G11" s="7" t="n">
        <v>127</v>
      </c>
      <c r="H11" s="8" t="n">
        <v>1652.52</v>
      </c>
      <c r="I11" s="8" t="n">
        <v>209870.04</v>
      </c>
      <c r="J11" s="8" t="n">
        <v>136680.266602422</v>
      </c>
      <c r="K11" s="8" t="n">
        <v>73189.7733975783</v>
      </c>
      <c r="L11" s="9" t="n">
        <f aca="false">K11/I11</f>
        <v>0.348738549807196</v>
      </c>
      <c r="M11" s="8" t="n">
        <v>207856.898464639</v>
      </c>
      <c r="N11" s="9" t="n">
        <f aca="false">I11/M11</f>
        <v>1.00968522839623</v>
      </c>
    </row>
    <row r="12" customFormat="false" ht="15" hidden="false" customHeight="false" outlineLevel="0" collapsed="false">
      <c r="A12" s="2" t="s">
        <v>43</v>
      </c>
      <c r="B12" s="3" t="s">
        <v>15</v>
      </c>
      <c r="C12" s="3" t="s">
        <v>16</v>
      </c>
      <c r="D12" s="3" t="s">
        <v>25</v>
      </c>
      <c r="E12" s="3" t="s">
        <v>29</v>
      </c>
      <c r="F12" s="3" t="s">
        <v>19</v>
      </c>
      <c r="G12" s="3" t="n">
        <v>345</v>
      </c>
      <c r="H12" s="4" t="n">
        <v>1023.5</v>
      </c>
      <c r="I12" s="4" t="n">
        <v>353107.5</v>
      </c>
      <c r="J12" s="4" t="n">
        <v>236995.439190262</v>
      </c>
      <c r="K12" s="4" t="n">
        <v>116112.060809738</v>
      </c>
      <c r="L12" s="5" t="n">
        <f aca="false">K12/I12</f>
        <v>0.328829211528324</v>
      </c>
      <c r="M12" s="4" t="n">
        <v>379589.910864879</v>
      </c>
      <c r="N12" s="5" t="n">
        <f aca="false">I12/M12</f>
        <v>0.93023415505291</v>
      </c>
    </row>
    <row r="13" customFormat="false" ht="15" hidden="false" customHeight="false" outlineLevel="0" collapsed="false">
      <c r="A13" s="6" t="s">
        <v>44</v>
      </c>
      <c r="B13" s="7" t="s">
        <v>15</v>
      </c>
      <c r="C13" s="7" t="s">
        <v>27</v>
      </c>
      <c r="D13" s="7" t="s">
        <v>45</v>
      </c>
      <c r="E13" s="7" t="s">
        <v>41</v>
      </c>
      <c r="F13" s="7" t="s">
        <v>19</v>
      </c>
      <c r="G13" s="7" t="n">
        <v>391</v>
      </c>
      <c r="H13" s="8" t="n">
        <v>1144.67</v>
      </c>
      <c r="I13" s="8" t="n">
        <v>447565.97</v>
      </c>
      <c r="J13" s="8" t="n">
        <v>230803.237219482</v>
      </c>
      <c r="K13" s="8" t="n">
        <v>216762.732780518</v>
      </c>
      <c r="L13" s="9" t="n">
        <f aca="false">K13/I13</f>
        <v>0.484314597869266</v>
      </c>
      <c r="M13" s="8" t="n">
        <v>472005.353016983</v>
      </c>
      <c r="N13" s="9" t="n">
        <f aca="false">I13/M13</f>
        <v>0.948222233369239</v>
      </c>
    </row>
    <row r="14" customFormat="false" ht="15" hidden="false" customHeight="false" outlineLevel="0" collapsed="false">
      <c r="A14" s="2" t="s">
        <v>46</v>
      </c>
      <c r="B14" s="3" t="s">
        <v>15</v>
      </c>
      <c r="C14" s="3" t="s">
        <v>21</v>
      </c>
      <c r="D14" s="3" t="s">
        <v>28</v>
      </c>
      <c r="E14" s="3" t="s">
        <v>29</v>
      </c>
      <c r="F14" s="3" t="s">
        <v>19</v>
      </c>
      <c r="G14" s="3" t="n">
        <v>80</v>
      </c>
      <c r="H14" s="4" t="n">
        <v>1043.58</v>
      </c>
      <c r="I14" s="4" t="n">
        <v>83486.4</v>
      </c>
      <c r="J14" s="4" t="n">
        <v>39466.3048871266</v>
      </c>
      <c r="K14" s="4" t="n">
        <v>44020.0951128734</v>
      </c>
      <c r="L14" s="5" t="n">
        <f aca="false">K14/I14</f>
        <v>0.527272646956552</v>
      </c>
      <c r="M14" s="4" t="n">
        <v>72340.1917978408</v>
      </c>
      <c r="N14" s="5" t="n">
        <f aca="false">I14/M14</f>
        <v>1.15408043475068</v>
      </c>
    </row>
    <row r="15" customFormat="false" ht="15" hidden="false" customHeight="false" outlineLevel="0" collapsed="false">
      <c r="A15" s="6" t="s">
        <v>47</v>
      </c>
      <c r="B15" s="7" t="s">
        <v>15</v>
      </c>
      <c r="C15" s="7" t="s">
        <v>16</v>
      </c>
      <c r="D15" s="7" t="s">
        <v>25</v>
      </c>
      <c r="E15" s="7" t="s">
        <v>41</v>
      </c>
      <c r="F15" s="7" t="s">
        <v>38</v>
      </c>
      <c r="G15" s="7" t="n">
        <v>315</v>
      </c>
      <c r="H15" s="8" t="n">
        <v>173.88</v>
      </c>
      <c r="I15" s="8" t="n">
        <v>54772.2</v>
      </c>
      <c r="J15" s="8" t="n">
        <v>29873.0219710983</v>
      </c>
      <c r="K15" s="8" t="n">
        <v>24899.1780289017</v>
      </c>
      <c r="L15" s="9" t="n">
        <f aca="false">K15/I15</f>
        <v>0.454595178373366</v>
      </c>
      <c r="M15" s="8" t="n">
        <v>65652.2858119753</v>
      </c>
      <c r="N15" s="9" t="n">
        <f aca="false">I15/M15</f>
        <v>0.834277121087066</v>
      </c>
    </row>
    <row r="16" customFormat="false" ht="15" hidden="false" customHeight="false" outlineLevel="0" collapsed="false">
      <c r="A16" s="2" t="s">
        <v>48</v>
      </c>
      <c r="B16" s="3" t="s">
        <v>15</v>
      </c>
      <c r="C16" s="3" t="s">
        <v>21</v>
      </c>
      <c r="D16" s="3" t="s">
        <v>45</v>
      </c>
      <c r="E16" s="3" t="s">
        <v>36</v>
      </c>
      <c r="F16" s="3" t="s">
        <v>23</v>
      </c>
      <c r="G16" s="3" t="n">
        <v>359</v>
      </c>
      <c r="H16" s="4" t="n">
        <v>1775.34</v>
      </c>
      <c r="I16" s="4" t="n">
        <v>637347.06</v>
      </c>
      <c r="J16" s="4" t="n">
        <v>406448.616497245</v>
      </c>
      <c r="K16" s="4" t="n">
        <v>230898.443502755</v>
      </c>
      <c r="L16" s="5" t="n">
        <f aca="false">K16/I16</f>
        <v>0.362280550102098</v>
      </c>
      <c r="M16" s="4" t="n">
        <v>713197.450902632</v>
      </c>
      <c r="N16" s="5" t="n">
        <f aca="false">I16/M16</f>
        <v>0.893647417266235</v>
      </c>
    </row>
    <row r="17" customFormat="false" ht="15" hidden="false" customHeight="false" outlineLevel="0" collapsed="false">
      <c r="A17" s="6" t="s">
        <v>49</v>
      </c>
      <c r="B17" s="7" t="s">
        <v>15</v>
      </c>
      <c r="C17" s="7" t="s">
        <v>40</v>
      </c>
      <c r="D17" s="7" t="s">
        <v>17</v>
      </c>
      <c r="E17" s="7" t="s">
        <v>18</v>
      </c>
      <c r="F17" s="7" t="s">
        <v>38</v>
      </c>
      <c r="G17" s="7" t="n">
        <v>90</v>
      </c>
      <c r="H17" s="8" t="n">
        <v>934.76</v>
      </c>
      <c r="I17" s="8" t="n">
        <v>84128.4</v>
      </c>
      <c r="J17" s="8" t="n">
        <v>57918.5319692161</v>
      </c>
      <c r="K17" s="8" t="n">
        <v>26209.8680307839</v>
      </c>
      <c r="L17" s="9" t="n">
        <f aca="false">K17/I17</f>
        <v>0.31154601811973</v>
      </c>
      <c r="M17" s="8" t="n">
        <v>97298.5772782595</v>
      </c>
      <c r="N17" s="9" t="n">
        <f aca="false">I17/M17</f>
        <v>0.864641625328244</v>
      </c>
    </row>
    <row r="18" customFormat="false" ht="15" hidden="false" customHeight="false" outlineLevel="0" collapsed="false">
      <c r="A18" s="2" t="s">
        <v>50</v>
      </c>
      <c r="B18" s="3" t="s">
        <v>15</v>
      </c>
      <c r="C18" s="3" t="s">
        <v>40</v>
      </c>
      <c r="D18" s="3" t="s">
        <v>51</v>
      </c>
      <c r="E18" s="3" t="s">
        <v>41</v>
      </c>
      <c r="F18" s="3" t="s">
        <v>23</v>
      </c>
      <c r="G18" s="3" t="n">
        <v>455</v>
      </c>
      <c r="H18" s="4" t="n">
        <v>1269.34</v>
      </c>
      <c r="I18" s="4" t="n">
        <v>577549.7</v>
      </c>
      <c r="J18" s="4" t="n">
        <v>381423.834884051</v>
      </c>
      <c r="K18" s="4" t="n">
        <v>196125.865115949</v>
      </c>
      <c r="L18" s="5" t="n">
        <f aca="false">K18/I18</f>
        <v>0.339582662956883</v>
      </c>
      <c r="M18" s="4" t="n">
        <v>593537.435815561</v>
      </c>
      <c r="N18" s="5" t="n">
        <f aca="false">I18/M18</f>
        <v>0.973063643755523</v>
      </c>
    </row>
    <row r="19" customFormat="false" ht="15" hidden="false" customHeight="false" outlineLevel="0" collapsed="false">
      <c r="A19" s="6" t="s">
        <v>52</v>
      </c>
      <c r="B19" s="7" t="s">
        <v>15</v>
      </c>
      <c r="C19" s="7" t="s">
        <v>27</v>
      </c>
      <c r="D19" s="7" t="s">
        <v>25</v>
      </c>
      <c r="E19" s="7" t="s">
        <v>29</v>
      </c>
      <c r="F19" s="7" t="s">
        <v>19</v>
      </c>
      <c r="G19" s="7" t="n">
        <v>286</v>
      </c>
      <c r="H19" s="8" t="n">
        <v>1909.32</v>
      </c>
      <c r="I19" s="8" t="n">
        <v>546065.52</v>
      </c>
      <c r="J19" s="8" t="n">
        <v>371656.845474635</v>
      </c>
      <c r="K19" s="8" t="n">
        <v>174408.674525365</v>
      </c>
      <c r="L19" s="9" t="n">
        <f aca="false">K19/I19</f>
        <v>0.319391479845431</v>
      </c>
      <c r="M19" s="8" t="n">
        <v>639700.861671832</v>
      </c>
      <c r="N19" s="9" t="n">
        <f aca="false">I19/M19</f>
        <v>0.853626363067387</v>
      </c>
    </row>
    <row r="20" customFormat="false" ht="15" hidden="false" customHeight="false" outlineLevel="0" collapsed="false">
      <c r="A20" s="2" t="s">
        <v>53</v>
      </c>
      <c r="B20" s="3" t="s">
        <v>15</v>
      </c>
      <c r="C20" s="3" t="s">
        <v>21</v>
      </c>
      <c r="D20" s="3" t="s">
        <v>45</v>
      </c>
      <c r="E20" s="3" t="s">
        <v>54</v>
      </c>
      <c r="F20" s="3" t="s">
        <v>23</v>
      </c>
      <c r="G20" s="3" t="n">
        <v>67</v>
      </c>
      <c r="H20" s="4" t="n">
        <v>1861.74</v>
      </c>
      <c r="I20" s="4" t="n">
        <v>124736.58</v>
      </c>
      <c r="J20" s="4" t="n">
        <v>83533.6514527105</v>
      </c>
      <c r="K20" s="4" t="n">
        <v>41202.9285472895</v>
      </c>
      <c r="L20" s="5" t="n">
        <f aca="false">K20/I20</f>
        <v>0.330319530544204</v>
      </c>
      <c r="M20" s="4" t="n">
        <v>142334.782842741</v>
      </c>
      <c r="N20" s="5" t="n">
        <f aca="false">I20/M20</f>
        <v>0.876360489746315</v>
      </c>
    </row>
    <row r="21" customFormat="false" ht="15" hidden="false" customHeight="false" outlineLevel="0" collapsed="false">
      <c r="A21" s="6" t="s">
        <v>55</v>
      </c>
      <c r="B21" s="7" t="s">
        <v>15</v>
      </c>
      <c r="C21" s="7" t="s">
        <v>40</v>
      </c>
      <c r="D21" s="7" t="s">
        <v>25</v>
      </c>
      <c r="E21" s="7" t="s">
        <v>36</v>
      </c>
      <c r="F21" s="7" t="s">
        <v>19</v>
      </c>
      <c r="G21" s="7" t="n">
        <v>459</v>
      </c>
      <c r="H21" s="8" t="n">
        <v>1156.35</v>
      </c>
      <c r="I21" s="8" t="n">
        <v>530764.65</v>
      </c>
      <c r="J21" s="8" t="n">
        <v>249294.45679285</v>
      </c>
      <c r="K21" s="8" t="n">
        <v>281470.19320715</v>
      </c>
      <c r="L21" s="9" t="n">
        <f aca="false">K21/I21</f>
        <v>0.530310737927159</v>
      </c>
      <c r="M21" s="8" t="n">
        <v>587114.689943518</v>
      </c>
      <c r="N21" s="9" t="n">
        <f aca="false">I21/M21</f>
        <v>0.90402209157986</v>
      </c>
    </row>
    <row r="22" customFormat="false" ht="15" hidden="false" customHeight="false" outlineLevel="0" collapsed="false">
      <c r="A22" s="2" t="s">
        <v>56</v>
      </c>
      <c r="B22" s="3" t="s">
        <v>57</v>
      </c>
      <c r="C22" s="3" t="s">
        <v>16</v>
      </c>
      <c r="D22" s="3" t="s">
        <v>51</v>
      </c>
      <c r="E22" s="3" t="s">
        <v>41</v>
      </c>
      <c r="F22" s="3" t="s">
        <v>19</v>
      </c>
      <c r="G22" s="3" t="n">
        <v>347</v>
      </c>
      <c r="H22" s="4" t="n">
        <v>976.8</v>
      </c>
      <c r="I22" s="4" t="n">
        <v>338949.6</v>
      </c>
      <c r="J22" s="4" t="n">
        <v>199116.247023419</v>
      </c>
      <c r="K22" s="4" t="n">
        <v>139833.352976582</v>
      </c>
      <c r="L22" s="5" t="n">
        <f aca="false">K22/I22</f>
        <v>0.412549101626264</v>
      </c>
      <c r="M22" s="4" t="n">
        <v>319551.453424804</v>
      </c>
      <c r="N22" s="5" t="n">
        <f aca="false">I22/M22</f>
        <v>1.06070429775016</v>
      </c>
    </row>
    <row r="23" customFormat="false" ht="15" hidden="false" customHeight="false" outlineLevel="0" collapsed="false">
      <c r="A23" s="6" t="s">
        <v>58</v>
      </c>
      <c r="B23" s="7" t="s">
        <v>57</v>
      </c>
      <c r="C23" s="7" t="s">
        <v>21</v>
      </c>
      <c r="D23" s="7" t="s">
        <v>28</v>
      </c>
      <c r="E23" s="7" t="s">
        <v>59</v>
      </c>
      <c r="F23" s="7" t="s">
        <v>19</v>
      </c>
      <c r="G23" s="7" t="n">
        <v>375</v>
      </c>
      <c r="H23" s="8" t="n">
        <v>657.85</v>
      </c>
      <c r="I23" s="8" t="n">
        <v>246693.75</v>
      </c>
      <c r="J23" s="8" t="n">
        <v>172386.469151191</v>
      </c>
      <c r="K23" s="8" t="n">
        <v>74307.2808488091</v>
      </c>
      <c r="L23" s="9" t="n">
        <f aca="false">K23/I23</f>
        <v>0.301212660834776</v>
      </c>
      <c r="M23" s="8" t="n">
        <v>265801.986778628</v>
      </c>
      <c r="N23" s="9" t="n">
        <f aca="false">I23/M23</f>
        <v>0.928111008460814</v>
      </c>
    </row>
    <row r="24" customFormat="false" ht="15" hidden="false" customHeight="false" outlineLevel="0" collapsed="false">
      <c r="A24" s="2" t="s">
        <v>60</v>
      </c>
      <c r="B24" s="3" t="s">
        <v>57</v>
      </c>
      <c r="C24" s="3" t="s">
        <v>32</v>
      </c>
      <c r="D24" s="3" t="s">
        <v>51</v>
      </c>
      <c r="E24" s="3" t="s">
        <v>54</v>
      </c>
      <c r="F24" s="3" t="s">
        <v>23</v>
      </c>
      <c r="G24" s="3" t="n">
        <v>136</v>
      </c>
      <c r="H24" s="4" t="n">
        <v>488.16</v>
      </c>
      <c r="I24" s="4" t="n">
        <v>66389.76</v>
      </c>
      <c r="J24" s="4" t="n">
        <v>35486.7468326087</v>
      </c>
      <c r="K24" s="4" t="n">
        <v>30903.0131673913</v>
      </c>
      <c r="L24" s="5" t="n">
        <f aca="false">K24/I24</f>
        <v>0.465478609463136</v>
      </c>
      <c r="M24" s="4" t="n">
        <v>70101.4821184992</v>
      </c>
      <c r="N24" s="5" t="n">
        <f aca="false">I24/M24</f>
        <v>0.94705215915086</v>
      </c>
    </row>
    <row r="25" customFormat="false" ht="15" hidden="false" customHeight="false" outlineLevel="0" collapsed="false">
      <c r="A25" s="6" t="s">
        <v>61</v>
      </c>
      <c r="B25" s="7" t="s">
        <v>57</v>
      </c>
      <c r="C25" s="7" t="s">
        <v>27</v>
      </c>
      <c r="D25" s="7" t="s">
        <v>51</v>
      </c>
      <c r="E25" s="7" t="s">
        <v>59</v>
      </c>
      <c r="F25" s="7" t="s">
        <v>23</v>
      </c>
      <c r="G25" s="7" t="n">
        <v>46</v>
      </c>
      <c r="H25" s="8" t="n">
        <v>1430.29</v>
      </c>
      <c r="I25" s="8" t="n">
        <v>65793.34</v>
      </c>
      <c r="J25" s="8" t="n">
        <v>30575.3784402937</v>
      </c>
      <c r="K25" s="8" t="n">
        <v>35217.9615597063</v>
      </c>
      <c r="L25" s="9" t="n">
        <f aca="false">K25/I25</f>
        <v>0.535281558280919</v>
      </c>
      <c r="M25" s="8" t="n">
        <v>57476.4114462156</v>
      </c>
      <c r="N25" s="9" t="n">
        <f aca="false">I25/M25</f>
        <v>1.14470159748173</v>
      </c>
    </row>
    <row r="26" customFormat="false" ht="15" hidden="false" customHeight="false" outlineLevel="0" collapsed="false">
      <c r="A26" s="2" t="s">
        <v>62</v>
      </c>
      <c r="B26" s="3" t="s">
        <v>57</v>
      </c>
      <c r="C26" s="3" t="s">
        <v>16</v>
      </c>
      <c r="D26" s="3" t="s">
        <v>45</v>
      </c>
      <c r="E26" s="3" t="s">
        <v>34</v>
      </c>
      <c r="F26" s="3" t="s">
        <v>19</v>
      </c>
      <c r="G26" s="3" t="n">
        <v>152</v>
      </c>
      <c r="H26" s="4" t="n">
        <v>1354.51</v>
      </c>
      <c r="I26" s="4" t="n">
        <v>205885.52</v>
      </c>
      <c r="J26" s="4" t="n">
        <v>103675.548122151</v>
      </c>
      <c r="K26" s="4" t="n">
        <v>102209.971877849</v>
      </c>
      <c r="L26" s="5" t="n">
        <f aca="false">K26/I26</f>
        <v>0.496440798157391</v>
      </c>
      <c r="M26" s="4" t="n">
        <v>184537.07482192</v>
      </c>
      <c r="N26" s="5" t="n">
        <f aca="false">I26/M26</f>
        <v>1.11568648304782</v>
      </c>
    </row>
    <row r="27" customFormat="false" ht="15" hidden="false" customHeight="false" outlineLevel="0" collapsed="false">
      <c r="A27" s="6" t="s">
        <v>63</v>
      </c>
      <c r="B27" s="7" t="s">
        <v>57</v>
      </c>
      <c r="C27" s="7" t="s">
        <v>21</v>
      </c>
      <c r="D27" s="7" t="s">
        <v>51</v>
      </c>
      <c r="E27" s="7" t="s">
        <v>54</v>
      </c>
      <c r="F27" s="7" t="s">
        <v>19</v>
      </c>
      <c r="G27" s="7" t="n">
        <v>411</v>
      </c>
      <c r="H27" s="8" t="n">
        <v>972.3</v>
      </c>
      <c r="I27" s="8" t="n">
        <v>399615.3</v>
      </c>
      <c r="J27" s="8" t="n">
        <v>220493.732156798</v>
      </c>
      <c r="K27" s="8" t="n">
        <v>179121.567843202</v>
      </c>
      <c r="L27" s="9" t="n">
        <f aca="false">K27/I27</f>
        <v>0.448235009628516</v>
      </c>
      <c r="M27" s="8" t="n">
        <v>352865.916011995</v>
      </c>
      <c r="N27" s="9" t="n">
        <f aca="false">I27/M27</f>
        <v>1.13248483876356</v>
      </c>
    </row>
    <row r="28" customFormat="false" ht="15" hidden="false" customHeight="false" outlineLevel="0" collapsed="false">
      <c r="A28" s="2" t="s">
        <v>64</v>
      </c>
      <c r="B28" s="3" t="s">
        <v>57</v>
      </c>
      <c r="C28" s="3" t="s">
        <v>32</v>
      </c>
      <c r="D28" s="3" t="s">
        <v>45</v>
      </c>
      <c r="E28" s="3" t="s">
        <v>22</v>
      </c>
      <c r="F28" s="3" t="s">
        <v>38</v>
      </c>
      <c r="G28" s="3" t="n">
        <v>249</v>
      </c>
      <c r="H28" s="4" t="n">
        <v>1734.48</v>
      </c>
      <c r="I28" s="4" t="n">
        <v>431885.52</v>
      </c>
      <c r="J28" s="4" t="n">
        <v>200197.421841696</v>
      </c>
      <c r="K28" s="4" t="n">
        <v>231688.098158304</v>
      </c>
      <c r="L28" s="5" t="n">
        <f aca="false">K28/I28</f>
        <v>0.536457203191957</v>
      </c>
      <c r="M28" s="4" t="n">
        <v>465878.979171284</v>
      </c>
      <c r="N28" s="5" t="n">
        <f aca="false">I28/M28</f>
        <v>0.927033713279461</v>
      </c>
    </row>
    <row r="29" customFormat="false" ht="15" hidden="false" customHeight="false" outlineLevel="0" collapsed="false">
      <c r="A29" s="6" t="s">
        <v>65</v>
      </c>
      <c r="B29" s="7" t="s">
        <v>57</v>
      </c>
      <c r="C29" s="7" t="s">
        <v>16</v>
      </c>
      <c r="D29" s="7" t="s">
        <v>17</v>
      </c>
      <c r="E29" s="7" t="s">
        <v>22</v>
      </c>
      <c r="F29" s="7" t="s">
        <v>30</v>
      </c>
      <c r="G29" s="7" t="n">
        <v>419</v>
      </c>
      <c r="H29" s="8" t="n">
        <v>1730.26</v>
      </c>
      <c r="I29" s="8" t="n">
        <v>724978.94</v>
      </c>
      <c r="J29" s="8" t="n">
        <v>371308.174347454</v>
      </c>
      <c r="K29" s="8" t="n">
        <v>353670.765652546</v>
      </c>
      <c r="L29" s="9" t="n">
        <f aca="false">K29/I29</f>
        <v>0.487835916519929</v>
      </c>
      <c r="M29" s="8" t="n">
        <v>664496.207486992</v>
      </c>
      <c r="N29" s="9" t="n">
        <f aca="false">I29/M29</f>
        <v>1.09102043297093</v>
      </c>
    </row>
    <row r="30" customFormat="false" ht="15" hidden="false" customHeight="false" outlineLevel="0" collapsed="false">
      <c r="A30" s="2" t="s">
        <v>66</v>
      </c>
      <c r="B30" s="3" t="s">
        <v>57</v>
      </c>
      <c r="C30" s="3" t="s">
        <v>32</v>
      </c>
      <c r="D30" s="3" t="s">
        <v>25</v>
      </c>
      <c r="E30" s="3" t="s">
        <v>22</v>
      </c>
      <c r="F30" s="3" t="s">
        <v>19</v>
      </c>
      <c r="G30" s="3" t="n">
        <v>152</v>
      </c>
      <c r="H30" s="4" t="n">
        <v>952.12</v>
      </c>
      <c r="I30" s="4" t="n">
        <v>144722.24</v>
      </c>
      <c r="J30" s="4" t="n">
        <v>96764.3995304078</v>
      </c>
      <c r="K30" s="4" t="n">
        <v>47957.8404695922</v>
      </c>
      <c r="L30" s="5" t="n">
        <f aca="false">K30/I30</f>
        <v>0.331378511482355</v>
      </c>
      <c r="M30" s="4" t="n">
        <v>126832.358467687</v>
      </c>
      <c r="N30" s="5" t="n">
        <f aca="false">I30/M30</f>
        <v>1.14105139846367</v>
      </c>
    </row>
    <row r="31" customFormat="false" ht="15" hidden="false" customHeight="false" outlineLevel="0" collapsed="false">
      <c r="A31" s="6" t="s">
        <v>67</v>
      </c>
      <c r="B31" s="7" t="s">
        <v>57</v>
      </c>
      <c r="C31" s="7" t="s">
        <v>21</v>
      </c>
      <c r="D31" s="7" t="s">
        <v>17</v>
      </c>
      <c r="E31" s="7" t="s">
        <v>36</v>
      </c>
      <c r="F31" s="7" t="s">
        <v>23</v>
      </c>
      <c r="G31" s="7" t="n">
        <v>57</v>
      </c>
      <c r="H31" s="8" t="n">
        <v>1856.42</v>
      </c>
      <c r="I31" s="8" t="n">
        <v>105815.94</v>
      </c>
      <c r="J31" s="8" t="n">
        <v>70068.55722776</v>
      </c>
      <c r="K31" s="8" t="n">
        <v>35747.38277224</v>
      </c>
      <c r="L31" s="9" t="n">
        <f aca="false">K31/I31</f>
        <v>0.337826066396424</v>
      </c>
      <c r="M31" s="8" t="n">
        <v>96102.977275349</v>
      </c>
      <c r="N31" s="9" t="n">
        <f aca="false">I31/M31</f>
        <v>1.10106828112954</v>
      </c>
    </row>
    <row r="32" customFormat="false" ht="15" hidden="false" customHeight="false" outlineLevel="0" collapsed="false">
      <c r="A32" s="2" t="s">
        <v>68</v>
      </c>
      <c r="B32" s="3" t="s">
        <v>57</v>
      </c>
      <c r="C32" s="3" t="s">
        <v>32</v>
      </c>
      <c r="D32" s="3" t="s">
        <v>28</v>
      </c>
      <c r="E32" s="3" t="s">
        <v>59</v>
      </c>
      <c r="F32" s="3" t="s">
        <v>38</v>
      </c>
      <c r="G32" s="3" t="n">
        <v>472</v>
      </c>
      <c r="H32" s="4" t="n">
        <v>164.34</v>
      </c>
      <c r="I32" s="4" t="n">
        <v>77568.48</v>
      </c>
      <c r="J32" s="4" t="n">
        <v>42254.9081999746</v>
      </c>
      <c r="K32" s="4" t="n">
        <v>35313.5718000254</v>
      </c>
      <c r="L32" s="5" t="n">
        <f aca="false">K32/I32</f>
        <v>0.455256720255771</v>
      </c>
      <c r="M32" s="4" t="n">
        <v>92683.3262698928</v>
      </c>
      <c r="N32" s="5" t="n">
        <f aca="false">I32/M32</f>
        <v>0.836919466767102</v>
      </c>
    </row>
    <row r="33" customFormat="false" ht="15" hidden="false" customHeight="false" outlineLevel="0" collapsed="false">
      <c r="A33" s="6" t="s">
        <v>69</v>
      </c>
      <c r="B33" s="7" t="s">
        <v>57</v>
      </c>
      <c r="C33" s="7" t="s">
        <v>40</v>
      </c>
      <c r="D33" s="7" t="s">
        <v>28</v>
      </c>
      <c r="E33" s="7" t="s">
        <v>18</v>
      </c>
      <c r="F33" s="7" t="s">
        <v>38</v>
      </c>
      <c r="G33" s="7" t="n">
        <v>366</v>
      </c>
      <c r="H33" s="8" t="n">
        <v>1916.77</v>
      </c>
      <c r="I33" s="8" t="n">
        <v>701537.82</v>
      </c>
      <c r="J33" s="8" t="n">
        <v>490273.684891314</v>
      </c>
      <c r="K33" s="8" t="n">
        <v>211264.135108686</v>
      </c>
      <c r="L33" s="9" t="n">
        <f aca="false">K33/I33</f>
        <v>0.301144327626822</v>
      </c>
      <c r="M33" s="8" t="n">
        <v>732769.521309461</v>
      </c>
      <c r="N33" s="9" t="n">
        <f aca="false">I33/M33</f>
        <v>0.957378547549781</v>
      </c>
    </row>
    <row r="34" customFormat="false" ht="15" hidden="false" customHeight="false" outlineLevel="0" collapsed="false">
      <c r="A34" s="2" t="s">
        <v>70</v>
      </c>
      <c r="B34" s="3" t="s">
        <v>57</v>
      </c>
      <c r="C34" s="3" t="s">
        <v>32</v>
      </c>
      <c r="D34" s="3" t="s">
        <v>25</v>
      </c>
      <c r="E34" s="3" t="s">
        <v>59</v>
      </c>
      <c r="F34" s="3" t="s">
        <v>30</v>
      </c>
      <c r="G34" s="3" t="n">
        <v>121</v>
      </c>
      <c r="H34" s="4" t="n">
        <v>1938.98</v>
      </c>
      <c r="I34" s="4" t="n">
        <v>234616.58</v>
      </c>
      <c r="J34" s="4" t="n">
        <v>139548.785758679</v>
      </c>
      <c r="K34" s="4" t="n">
        <v>95067.7942413212</v>
      </c>
      <c r="L34" s="5" t="n">
        <f aca="false">K34/I34</f>
        <v>0.405204927295936</v>
      </c>
      <c r="M34" s="4" t="n">
        <v>243946.887343595</v>
      </c>
      <c r="N34" s="5" t="n">
        <f aca="false">I34/M34</f>
        <v>0.961752710005053</v>
      </c>
    </row>
    <row r="35" customFormat="false" ht="15" hidden="false" customHeight="false" outlineLevel="0" collapsed="false">
      <c r="A35" s="6" t="s">
        <v>71</v>
      </c>
      <c r="B35" s="7" t="s">
        <v>57</v>
      </c>
      <c r="C35" s="7" t="s">
        <v>40</v>
      </c>
      <c r="D35" s="7" t="s">
        <v>17</v>
      </c>
      <c r="E35" s="7" t="s">
        <v>36</v>
      </c>
      <c r="F35" s="7" t="s">
        <v>38</v>
      </c>
      <c r="G35" s="7" t="n">
        <v>267</v>
      </c>
      <c r="H35" s="8" t="n">
        <v>1842.8</v>
      </c>
      <c r="I35" s="8" t="n">
        <v>492027.6</v>
      </c>
      <c r="J35" s="8" t="n">
        <v>286744.59940861</v>
      </c>
      <c r="K35" s="8" t="n">
        <v>205283.00059139</v>
      </c>
      <c r="L35" s="9" t="n">
        <f aca="false">K35/I35</f>
        <v>0.417218466182365</v>
      </c>
      <c r="M35" s="8" t="n">
        <v>428018.67308602</v>
      </c>
      <c r="N35" s="9" t="n">
        <f aca="false">I35/M35</f>
        <v>1.14954704301211</v>
      </c>
    </row>
    <row r="36" customFormat="false" ht="15" hidden="false" customHeight="false" outlineLevel="0" collapsed="false">
      <c r="A36" s="2" t="s">
        <v>72</v>
      </c>
      <c r="B36" s="3" t="s">
        <v>57</v>
      </c>
      <c r="C36" s="3" t="s">
        <v>21</v>
      </c>
      <c r="D36" s="3" t="s">
        <v>17</v>
      </c>
      <c r="E36" s="3" t="s">
        <v>41</v>
      </c>
      <c r="F36" s="3" t="s">
        <v>23</v>
      </c>
      <c r="G36" s="3" t="n">
        <v>314</v>
      </c>
      <c r="H36" s="4" t="n">
        <v>182.52</v>
      </c>
      <c r="I36" s="4" t="n">
        <v>57311.28</v>
      </c>
      <c r="J36" s="4" t="n">
        <v>38138.0663983717</v>
      </c>
      <c r="K36" s="4" t="n">
        <v>19173.2136016284</v>
      </c>
      <c r="L36" s="5" t="n">
        <f aca="false">K36/I36</f>
        <v>0.334545199507468</v>
      </c>
      <c r="M36" s="4" t="n">
        <v>56813.9007875647</v>
      </c>
      <c r="N36" s="5" t="n">
        <f aca="false">I36/M36</f>
        <v>1.00875453375918</v>
      </c>
    </row>
    <row r="37" customFormat="false" ht="15" hidden="false" customHeight="false" outlineLevel="0" collapsed="false">
      <c r="A37" s="6" t="s">
        <v>73</v>
      </c>
      <c r="B37" s="7" t="s">
        <v>57</v>
      </c>
      <c r="C37" s="7" t="s">
        <v>21</v>
      </c>
      <c r="D37" s="7" t="s">
        <v>25</v>
      </c>
      <c r="E37" s="7" t="s">
        <v>36</v>
      </c>
      <c r="F37" s="7" t="s">
        <v>23</v>
      </c>
      <c r="G37" s="7" t="n">
        <v>224</v>
      </c>
      <c r="H37" s="8" t="n">
        <v>1331.88</v>
      </c>
      <c r="I37" s="8" t="n">
        <v>298341.12</v>
      </c>
      <c r="J37" s="8" t="n">
        <v>176411.11237845</v>
      </c>
      <c r="K37" s="8" t="n">
        <v>121930.00762155</v>
      </c>
      <c r="L37" s="9" t="n">
        <f aca="false">K37/I37</f>
        <v>0.408693269038978</v>
      </c>
      <c r="M37" s="8" t="n">
        <v>286625.098964024</v>
      </c>
      <c r="N37" s="9" t="n">
        <f aca="false">I37/M37</f>
        <v>1.04087576795725</v>
      </c>
    </row>
    <row r="38" customFormat="false" ht="15" hidden="false" customHeight="false" outlineLevel="0" collapsed="false">
      <c r="A38" s="2" t="s">
        <v>74</v>
      </c>
      <c r="B38" s="3" t="s">
        <v>57</v>
      </c>
      <c r="C38" s="3" t="s">
        <v>40</v>
      </c>
      <c r="D38" s="3" t="s">
        <v>25</v>
      </c>
      <c r="E38" s="3" t="s">
        <v>29</v>
      </c>
      <c r="F38" s="3" t="s">
        <v>19</v>
      </c>
      <c r="G38" s="3" t="n">
        <v>145</v>
      </c>
      <c r="H38" s="4" t="n">
        <v>821.78</v>
      </c>
      <c r="I38" s="4" t="n">
        <v>119158.1</v>
      </c>
      <c r="J38" s="4" t="n">
        <v>73630.4776891216</v>
      </c>
      <c r="K38" s="4" t="n">
        <v>45527.6223108784</v>
      </c>
      <c r="L38" s="5" t="n">
        <f aca="false">K38/I38</f>
        <v>0.382077444260007</v>
      </c>
      <c r="M38" s="4" t="n">
        <v>113795.863712029</v>
      </c>
      <c r="N38" s="5" t="n">
        <f aca="false">I38/M38</f>
        <v>1.04712153950991</v>
      </c>
    </row>
    <row r="39" customFormat="false" ht="15" hidden="false" customHeight="false" outlineLevel="0" collapsed="false">
      <c r="A39" s="6" t="s">
        <v>75</v>
      </c>
      <c r="B39" s="7" t="s">
        <v>57</v>
      </c>
      <c r="C39" s="7" t="s">
        <v>40</v>
      </c>
      <c r="D39" s="7" t="s">
        <v>17</v>
      </c>
      <c r="E39" s="7" t="s">
        <v>36</v>
      </c>
      <c r="F39" s="7" t="s">
        <v>38</v>
      </c>
      <c r="G39" s="7" t="n">
        <v>328</v>
      </c>
      <c r="H39" s="8" t="n">
        <v>1996.99</v>
      </c>
      <c r="I39" s="8" t="n">
        <v>655012.72</v>
      </c>
      <c r="J39" s="8" t="n">
        <v>457869.684922976</v>
      </c>
      <c r="K39" s="8" t="n">
        <v>197143.035077024</v>
      </c>
      <c r="L39" s="9" t="n">
        <f aca="false">K39/I39</f>
        <v>0.300975888036226</v>
      </c>
      <c r="M39" s="8" t="n">
        <v>573556.158468821</v>
      </c>
      <c r="N39" s="9" t="n">
        <f aca="false">I39/M39</f>
        <v>1.14202020208211</v>
      </c>
    </row>
    <row r="40" customFormat="false" ht="15" hidden="false" customHeight="false" outlineLevel="0" collapsed="false">
      <c r="A40" s="2" t="s">
        <v>76</v>
      </c>
      <c r="B40" s="3" t="s">
        <v>57</v>
      </c>
      <c r="C40" s="3" t="s">
        <v>27</v>
      </c>
      <c r="D40" s="3" t="s">
        <v>51</v>
      </c>
      <c r="E40" s="3" t="s">
        <v>18</v>
      </c>
      <c r="F40" s="3" t="s">
        <v>19</v>
      </c>
      <c r="G40" s="3" t="n">
        <v>487</v>
      </c>
      <c r="H40" s="4" t="n">
        <v>730.57</v>
      </c>
      <c r="I40" s="4" t="n">
        <v>355787.59</v>
      </c>
      <c r="J40" s="4" t="n">
        <v>166223.189460587</v>
      </c>
      <c r="K40" s="4" t="n">
        <v>189564.400539413</v>
      </c>
      <c r="L40" s="5" t="n">
        <f aca="false">K40/I40</f>
        <v>0.532802171484995</v>
      </c>
      <c r="M40" s="4" t="n">
        <v>332839.128838395</v>
      </c>
      <c r="N40" s="5" t="n">
        <f aca="false">I40/M40</f>
        <v>1.06894760613542</v>
      </c>
    </row>
    <row r="41" customFormat="false" ht="15" hidden="false" customHeight="false" outlineLevel="0" collapsed="false">
      <c r="A41" s="6" t="s">
        <v>77</v>
      </c>
      <c r="B41" s="7" t="s">
        <v>57</v>
      </c>
      <c r="C41" s="7" t="s">
        <v>40</v>
      </c>
      <c r="D41" s="7" t="s">
        <v>25</v>
      </c>
      <c r="E41" s="7" t="s">
        <v>54</v>
      </c>
      <c r="F41" s="7" t="s">
        <v>30</v>
      </c>
      <c r="G41" s="7" t="n">
        <v>323</v>
      </c>
      <c r="H41" s="8" t="n">
        <v>1968.51</v>
      </c>
      <c r="I41" s="8" t="n">
        <v>635828.73</v>
      </c>
      <c r="J41" s="8" t="n">
        <v>414417.261477337</v>
      </c>
      <c r="K41" s="8" t="n">
        <v>221411.468522663</v>
      </c>
      <c r="L41" s="9" t="n">
        <f aca="false">K41/I41</f>
        <v>0.348225014183714</v>
      </c>
      <c r="M41" s="8" t="n">
        <v>658164.911587918</v>
      </c>
      <c r="N41" s="9" t="n">
        <f aca="false">I41/M41</f>
        <v>0.966062940769619</v>
      </c>
    </row>
    <row r="42" customFormat="false" ht="15" hidden="false" customHeight="false" outlineLevel="0" collapsed="false">
      <c r="A42" s="2" t="s">
        <v>78</v>
      </c>
      <c r="B42" s="3" t="s">
        <v>79</v>
      </c>
      <c r="C42" s="3" t="s">
        <v>21</v>
      </c>
      <c r="D42" s="3" t="s">
        <v>45</v>
      </c>
      <c r="E42" s="3" t="s">
        <v>34</v>
      </c>
      <c r="F42" s="3" t="s">
        <v>19</v>
      </c>
      <c r="G42" s="3" t="n">
        <v>145</v>
      </c>
      <c r="H42" s="4" t="n">
        <v>275.09</v>
      </c>
      <c r="I42" s="4" t="n">
        <v>39888.05</v>
      </c>
      <c r="J42" s="4" t="n">
        <v>19016.986607668</v>
      </c>
      <c r="K42" s="4" t="n">
        <v>20871.063392332</v>
      </c>
      <c r="L42" s="5" t="n">
        <f aca="false">K42/I42</f>
        <v>0.523241005572645</v>
      </c>
      <c r="M42" s="4" t="n">
        <v>41628.2967870785</v>
      </c>
      <c r="N42" s="5" t="n">
        <f aca="false">I42/M42</f>
        <v>0.958195580376985</v>
      </c>
    </row>
    <row r="43" customFormat="false" ht="15" hidden="false" customHeight="false" outlineLevel="0" collapsed="false">
      <c r="A43" s="6" t="s">
        <v>80</v>
      </c>
      <c r="B43" s="7" t="s">
        <v>79</v>
      </c>
      <c r="C43" s="7" t="s">
        <v>40</v>
      </c>
      <c r="D43" s="7" t="s">
        <v>45</v>
      </c>
      <c r="E43" s="7" t="s">
        <v>59</v>
      </c>
      <c r="F43" s="7" t="s">
        <v>30</v>
      </c>
      <c r="G43" s="7" t="n">
        <v>114</v>
      </c>
      <c r="H43" s="8" t="n">
        <v>1390.62</v>
      </c>
      <c r="I43" s="8" t="n">
        <v>158530.68</v>
      </c>
      <c r="J43" s="8" t="n">
        <v>105142.018151198</v>
      </c>
      <c r="K43" s="8" t="n">
        <v>53388.661848802</v>
      </c>
      <c r="L43" s="9" t="n">
        <f aca="false">K43/I43</f>
        <v>0.336771796152026</v>
      </c>
      <c r="M43" s="8" t="n">
        <v>162794.072580452</v>
      </c>
      <c r="N43" s="9" t="n">
        <f aca="false">I43/M43</f>
        <v>0.973811131370617</v>
      </c>
    </row>
    <row r="44" customFormat="false" ht="15" hidden="false" customHeight="false" outlineLevel="0" collapsed="false">
      <c r="A44" s="2" t="s">
        <v>81</v>
      </c>
      <c r="B44" s="3" t="s">
        <v>79</v>
      </c>
      <c r="C44" s="3" t="s">
        <v>40</v>
      </c>
      <c r="D44" s="3" t="s">
        <v>17</v>
      </c>
      <c r="E44" s="3" t="s">
        <v>34</v>
      </c>
      <c r="F44" s="3" t="s">
        <v>38</v>
      </c>
      <c r="G44" s="3" t="n">
        <v>434</v>
      </c>
      <c r="H44" s="4" t="n">
        <v>589.53</v>
      </c>
      <c r="I44" s="4" t="n">
        <v>255856.02</v>
      </c>
      <c r="J44" s="4" t="n">
        <v>115362.005474539</v>
      </c>
      <c r="K44" s="4" t="n">
        <v>140494.014525461</v>
      </c>
      <c r="L44" s="5" t="n">
        <f aca="false">K44/I44</f>
        <v>0.549113577728054</v>
      </c>
      <c r="M44" s="4" t="n">
        <v>286531.040371553</v>
      </c>
      <c r="N44" s="5" t="n">
        <f aca="false">I44/M44</f>
        <v>0.892943464932191</v>
      </c>
    </row>
    <row r="45" customFormat="false" ht="15" hidden="false" customHeight="false" outlineLevel="0" collapsed="false">
      <c r="A45" s="6" t="s">
        <v>82</v>
      </c>
      <c r="B45" s="7" t="s">
        <v>79</v>
      </c>
      <c r="C45" s="7" t="s">
        <v>40</v>
      </c>
      <c r="D45" s="7" t="s">
        <v>25</v>
      </c>
      <c r="E45" s="7" t="s">
        <v>54</v>
      </c>
      <c r="F45" s="7" t="s">
        <v>38</v>
      </c>
      <c r="G45" s="7" t="n">
        <v>297</v>
      </c>
      <c r="H45" s="8" t="n">
        <v>68.86</v>
      </c>
      <c r="I45" s="8" t="n">
        <v>20451.42</v>
      </c>
      <c r="J45" s="8" t="n">
        <v>9587.84994619746</v>
      </c>
      <c r="K45" s="8" t="n">
        <v>10863.5700538025</v>
      </c>
      <c r="L45" s="9" t="n">
        <f aca="false">K45/I45</f>
        <v>0.531189034981558</v>
      </c>
      <c r="M45" s="8" t="n">
        <v>23704.9799139232</v>
      </c>
      <c r="N45" s="9" t="n">
        <f aca="false">I45/M45</f>
        <v>0.862747830804436</v>
      </c>
    </row>
    <row r="46" customFormat="false" ht="15" hidden="false" customHeight="false" outlineLevel="0" collapsed="false">
      <c r="A46" s="2" t="s">
        <v>83</v>
      </c>
      <c r="B46" s="3" t="s">
        <v>79</v>
      </c>
      <c r="C46" s="3" t="s">
        <v>27</v>
      </c>
      <c r="D46" s="3" t="s">
        <v>51</v>
      </c>
      <c r="E46" s="3" t="s">
        <v>36</v>
      </c>
      <c r="F46" s="3" t="s">
        <v>30</v>
      </c>
      <c r="G46" s="3" t="n">
        <v>308</v>
      </c>
      <c r="H46" s="4" t="n">
        <v>1127.42</v>
      </c>
      <c r="I46" s="4" t="n">
        <v>347245.36</v>
      </c>
      <c r="J46" s="4" t="n">
        <v>193570.772459375</v>
      </c>
      <c r="K46" s="4" t="n">
        <v>153674.587540625</v>
      </c>
      <c r="L46" s="5" t="n">
        <f aca="false">K46/I46</f>
        <v>0.442553321779807</v>
      </c>
      <c r="M46" s="4" t="n">
        <v>300242.262919632</v>
      </c>
      <c r="N46" s="5" t="n">
        <f aca="false">I46/M46</f>
        <v>1.15655056894155</v>
      </c>
    </row>
    <row r="47" customFormat="false" ht="15" hidden="false" customHeight="false" outlineLevel="0" collapsed="false">
      <c r="A47" s="6" t="s">
        <v>84</v>
      </c>
      <c r="B47" s="7" t="s">
        <v>79</v>
      </c>
      <c r="C47" s="7" t="s">
        <v>40</v>
      </c>
      <c r="D47" s="7" t="s">
        <v>17</v>
      </c>
      <c r="E47" s="7" t="s">
        <v>29</v>
      </c>
      <c r="F47" s="7" t="s">
        <v>19</v>
      </c>
      <c r="G47" s="7" t="n">
        <v>359</v>
      </c>
      <c r="H47" s="8" t="n">
        <v>536.58</v>
      </c>
      <c r="I47" s="8" t="n">
        <v>192632.22</v>
      </c>
      <c r="J47" s="8" t="n">
        <v>91634.839886119</v>
      </c>
      <c r="K47" s="8" t="n">
        <v>100997.380113881</v>
      </c>
      <c r="L47" s="9" t="n">
        <f aca="false">K47/I47</f>
        <v>0.524301594582054</v>
      </c>
      <c r="M47" s="8" t="n">
        <v>216333.820235414</v>
      </c>
      <c r="N47" s="9" t="n">
        <f aca="false">I47/M47</f>
        <v>0.89043969079998</v>
      </c>
    </row>
    <row r="48" customFormat="false" ht="15" hidden="false" customHeight="false" outlineLevel="0" collapsed="false">
      <c r="A48" s="2" t="s">
        <v>85</v>
      </c>
      <c r="B48" s="3" t="s">
        <v>79</v>
      </c>
      <c r="C48" s="3" t="s">
        <v>32</v>
      </c>
      <c r="D48" s="3" t="s">
        <v>51</v>
      </c>
      <c r="E48" s="3" t="s">
        <v>41</v>
      </c>
      <c r="F48" s="3" t="s">
        <v>19</v>
      </c>
      <c r="G48" s="3" t="n">
        <v>452</v>
      </c>
      <c r="H48" s="4" t="n">
        <v>366.88</v>
      </c>
      <c r="I48" s="4" t="n">
        <v>165829.76</v>
      </c>
      <c r="J48" s="4" t="n">
        <v>107784.660549143</v>
      </c>
      <c r="K48" s="4" t="n">
        <v>58045.0994508566</v>
      </c>
      <c r="L48" s="5" t="n">
        <f aca="false">K48/I48</f>
        <v>0.350028242523276</v>
      </c>
      <c r="M48" s="4" t="n">
        <v>151231.489227181</v>
      </c>
      <c r="N48" s="5" t="n">
        <f aca="false">I48/M48</f>
        <v>1.09652930647856</v>
      </c>
    </row>
    <row r="49" customFormat="false" ht="15" hidden="false" customHeight="false" outlineLevel="0" collapsed="false">
      <c r="A49" s="6" t="s">
        <v>86</v>
      </c>
      <c r="B49" s="7" t="s">
        <v>79</v>
      </c>
      <c r="C49" s="7" t="s">
        <v>32</v>
      </c>
      <c r="D49" s="7" t="s">
        <v>17</v>
      </c>
      <c r="E49" s="7" t="s">
        <v>41</v>
      </c>
      <c r="F49" s="7" t="s">
        <v>30</v>
      </c>
      <c r="G49" s="7" t="n">
        <v>410</v>
      </c>
      <c r="H49" s="8" t="n">
        <v>1865.09</v>
      </c>
      <c r="I49" s="8" t="n">
        <v>764686.9</v>
      </c>
      <c r="J49" s="8" t="n">
        <v>497473.780366227</v>
      </c>
      <c r="K49" s="8" t="n">
        <v>267213.119633773</v>
      </c>
      <c r="L49" s="9" t="n">
        <f aca="false">K49/I49</f>
        <v>0.349441215265715</v>
      </c>
      <c r="M49" s="8" t="n">
        <v>881242.320140932</v>
      </c>
      <c r="N49" s="9" t="n">
        <f aca="false">I49/M49</f>
        <v>0.867737377703</v>
      </c>
    </row>
    <row r="50" customFormat="false" ht="15" hidden="false" customHeight="false" outlineLevel="0" collapsed="false">
      <c r="A50" s="2" t="s">
        <v>87</v>
      </c>
      <c r="B50" s="3" t="s">
        <v>79</v>
      </c>
      <c r="C50" s="3" t="s">
        <v>27</v>
      </c>
      <c r="D50" s="3" t="s">
        <v>45</v>
      </c>
      <c r="E50" s="3" t="s">
        <v>41</v>
      </c>
      <c r="F50" s="3" t="s">
        <v>23</v>
      </c>
      <c r="G50" s="3" t="n">
        <v>205</v>
      </c>
      <c r="H50" s="4" t="n">
        <v>1750.73</v>
      </c>
      <c r="I50" s="4" t="n">
        <v>358899.65</v>
      </c>
      <c r="J50" s="4" t="n">
        <v>238542.046849373</v>
      </c>
      <c r="K50" s="4" t="n">
        <v>120357.603150627</v>
      </c>
      <c r="L50" s="5" t="n">
        <f aca="false">K50/I50</f>
        <v>0.335351687165555</v>
      </c>
      <c r="M50" s="4" t="n">
        <v>333005.686681368</v>
      </c>
      <c r="N50" s="5" t="n">
        <f aca="false">I50/M50</f>
        <v>1.07775832171721</v>
      </c>
    </row>
    <row r="51" customFormat="false" ht="15" hidden="false" customHeight="false" outlineLevel="0" collapsed="false">
      <c r="A51" s="6" t="s">
        <v>88</v>
      </c>
      <c r="B51" s="7" t="s">
        <v>79</v>
      </c>
      <c r="C51" s="7" t="s">
        <v>32</v>
      </c>
      <c r="D51" s="7" t="s">
        <v>45</v>
      </c>
      <c r="E51" s="7" t="s">
        <v>18</v>
      </c>
      <c r="F51" s="7" t="s">
        <v>19</v>
      </c>
      <c r="G51" s="7" t="n">
        <v>124</v>
      </c>
      <c r="H51" s="8" t="n">
        <v>96.15</v>
      </c>
      <c r="I51" s="8" t="n">
        <v>11922.6</v>
      </c>
      <c r="J51" s="8" t="n">
        <v>5940.82230357899</v>
      </c>
      <c r="K51" s="8" t="n">
        <v>5981.77769642102</v>
      </c>
      <c r="L51" s="9" t="n">
        <f aca="false">K51/I51</f>
        <v>0.501717552918073</v>
      </c>
      <c r="M51" s="8" t="n">
        <v>11504.0175787724</v>
      </c>
      <c r="N51" s="9" t="n">
        <f aca="false">I51/M51</f>
        <v>1.03638575987575</v>
      </c>
    </row>
    <row r="52" customFormat="false" ht="15" hidden="false" customHeight="false" outlineLevel="0" collapsed="false">
      <c r="A52" s="2" t="s">
        <v>89</v>
      </c>
      <c r="B52" s="3" t="s">
        <v>79</v>
      </c>
      <c r="C52" s="3" t="s">
        <v>16</v>
      </c>
      <c r="D52" s="3" t="s">
        <v>45</v>
      </c>
      <c r="E52" s="3" t="s">
        <v>29</v>
      </c>
      <c r="F52" s="3" t="s">
        <v>38</v>
      </c>
      <c r="G52" s="3" t="n">
        <v>357</v>
      </c>
      <c r="H52" s="4" t="n">
        <v>1963.24</v>
      </c>
      <c r="I52" s="4" t="n">
        <v>700876.68</v>
      </c>
      <c r="J52" s="4" t="n">
        <v>409349.781585864</v>
      </c>
      <c r="K52" s="4" t="n">
        <v>291526.898414136</v>
      </c>
      <c r="L52" s="5" t="n">
        <f aca="false">K52/I52</f>
        <v>0.41594606688032</v>
      </c>
      <c r="M52" s="4" t="n">
        <v>826146.471025218</v>
      </c>
      <c r="N52" s="5" t="n">
        <f aca="false">I52/M52</f>
        <v>0.84836854550772</v>
      </c>
    </row>
    <row r="53" customFormat="false" ht="15" hidden="false" customHeight="false" outlineLevel="0" collapsed="false">
      <c r="A53" s="6" t="s">
        <v>90</v>
      </c>
      <c r="B53" s="7" t="s">
        <v>79</v>
      </c>
      <c r="C53" s="7" t="s">
        <v>16</v>
      </c>
      <c r="D53" s="7" t="s">
        <v>45</v>
      </c>
      <c r="E53" s="7" t="s">
        <v>41</v>
      </c>
      <c r="F53" s="7" t="s">
        <v>30</v>
      </c>
      <c r="G53" s="7" t="n">
        <v>29</v>
      </c>
      <c r="H53" s="8" t="n">
        <v>261.38</v>
      </c>
      <c r="I53" s="8" t="n">
        <v>7580.02</v>
      </c>
      <c r="J53" s="8" t="n">
        <v>4234.50949529879</v>
      </c>
      <c r="K53" s="8" t="n">
        <v>3345.51050470121</v>
      </c>
      <c r="L53" s="9" t="n">
        <f aca="false">K53/I53</f>
        <v>0.441359060358839</v>
      </c>
      <c r="M53" s="8" t="n">
        <v>8375.85214572705</v>
      </c>
      <c r="N53" s="9" t="n">
        <f aca="false">I53/M53</f>
        <v>0.904984933845443</v>
      </c>
    </row>
    <row r="54" customFormat="false" ht="15" hidden="false" customHeight="false" outlineLevel="0" collapsed="false">
      <c r="A54" s="2" t="s">
        <v>91</v>
      </c>
      <c r="B54" s="3" t="s">
        <v>79</v>
      </c>
      <c r="C54" s="3" t="s">
        <v>40</v>
      </c>
      <c r="D54" s="3" t="s">
        <v>28</v>
      </c>
      <c r="E54" s="3" t="s">
        <v>34</v>
      </c>
      <c r="F54" s="3" t="s">
        <v>38</v>
      </c>
      <c r="G54" s="3" t="n">
        <v>470</v>
      </c>
      <c r="H54" s="4" t="n">
        <v>1174.35</v>
      </c>
      <c r="I54" s="4" t="n">
        <v>551944.5</v>
      </c>
      <c r="J54" s="4" t="n">
        <v>283523.196572352</v>
      </c>
      <c r="K54" s="4" t="n">
        <v>268421.303427648</v>
      </c>
      <c r="L54" s="5" t="n">
        <f aca="false">K54/I54</f>
        <v>0.486319373465354</v>
      </c>
      <c r="M54" s="4" t="n">
        <v>606076.373682623</v>
      </c>
      <c r="N54" s="5" t="n">
        <f aca="false">I54/M54</f>
        <v>0.910684732101156</v>
      </c>
    </row>
    <row r="55" customFormat="false" ht="15" hidden="false" customHeight="false" outlineLevel="0" collapsed="false">
      <c r="A55" s="6" t="s">
        <v>92</v>
      </c>
      <c r="B55" s="7" t="s">
        <v>79</v>
      </c>
      <c r="C55" s="7" t="s">
        <v>16</v>
      </c>
      <c r="D55" s="7" t="s">
        <v>51</v>
      </c>
      <c r="E55" s="7" t="s">
        <v>59</v>
      </c>
      <c r="F55" s="7" t="s">
        <v>30</v>
      </c>
      <c r="G55" s="7" t="n">
        <v>230</v>
      </c>
      <c r="H55" s="8" t="n">
        <v>186.45</v>
      </c>
      <c r="I55" s="8" t="n">
        <v>42883.5</v>
      </c>
      <c r="J55" s="8" t="n">
        <v>26418.7841902231</v>
      </c>
      <c r="K55" s="8" t="n">
        <v>16464.7158097769</v>
      </c>
      <c r="L55" s="9" t="n">
        <f aca="false">K55/I55</f>
        <v>0.383940578772182</v>
      </c>
      <c r="M55" s="8" t="n">
        <v>41407.0216359714</v>
      </c>
      <c r="N55" s="9" t="n">
        <f aca="false">I55/M55</f>
        <v>1.03565768088826</v>
      </c>
    </row>
    <row r="56" customFormat="false" ht="15" hidden="false" customHeight="false" outlineLevel="0" collapsed="false">
      <c r="A56" s="2" t="s">
        <v>93</v>
      </c>
      <c r="B56" s="3" t="s">
        <v>79</v>
      </c>
      <c r="C56" s="3" t="s">
        <v>40</v>
      </c>
      <c r="D56" s="3" t="s">
        <v>17</v>
      </c>
      <c r="E56" s="3" t="s">
        <v>18</v>
      </c>
      <c r="F56" s="3" t="s">
        <v>30</v>
      </c>
      <c r="G56" s="3" t="n">
        <v>351</v>
      </c>
      <c r="H56" s="4" t="n">
        <v>846.37</v>
      </c>
      <c r="I56" s="4" t="n">
        <v>297075.87</v>
      </c>
      <c r="J56" s="4" t="n">
        <v>163570.002768378</v>
      </c>
      <c r="K56" s="4" t="n">
        <v>133505.867231622</v>
      </c>
      <c r="L56" s="5" t="n">
        <f aca="false">K56/I56</f>
        <v>0.449399903235569</v>
      </c>
      <c r="M56" s="4" t="n">
        <v>283255.698778648</v>
      </c>
      <c r="N56" s="5" t="n">
        <f aca="false">I56/M56</f>
        <v>1.04879044369078</v>
      </c>
    </row>
    <row r="57" customFormat="false" ht="15" hidden="false" customHeight="false" outlineLevel="0" collapsed="false">
      <c r="A57" s="6" t="s">
        <v>94</v>
      </c>
      <c r="B57" s="7" t="s">
        <v>79</v>
      </c>
      <c r="C57" s="7" t="s">
        <v>27</v>
      </c>
      <c r="D57" s="7" t="s">
        <v>25</v>
      </c>
      <c r="E57" s="7" t="s">
        <v>22</v>
      </c>
      <c r="F57" s="7" t="s">
        <v>38</v>
      </c>
      <c r="G57" s="7" t="n">
        <v>356</v>
      </c>
      <c r="H57" s="8" t="n">
        <v>1508.86</v>
      </c>
      <c r="I57" s="8" t="n">
        <v>537154.16</v>
      </c>
      <c r="J57" s="8" t="n">
        <v>265089.249839742</v>
      </c>
      <c r="K57" s="8" t="n">
        <v>272064.910160258</v>
      </c>
      <c r="L57" s="9" t="n">
        <f aca="false">K57/I57</f>
        <v>0.506493164197514</v>
      </c>
      <c r="M57" s="8" t="n">
        <v>563575.07529516</v>
      </c>
      <c r="N57" s="9" t="n">
        <f aca="false">I57/M57</f>
        <v>0.953119084832978</v>
      </c>
    </row>
    <row r="58" customFormat="false" ht="15" hidden="false" customHeight="false" outlineLevel="0" collapsed="false">
      <c r="A58" s="2" t="s">
        <v>95</v>
      </c>
      <c r="B58" s="3" t="s">
        <v>79</v>
      </c>
      <c r="C58" s="3" t="s">
        <v>32</v>
      </c>
      <c r="D58" s="3" t="s">
        <v>51</v>
      </c>
      <c r="E58" s="3" t="s">
        <v>36</v>
      </c>
      <c r="F58" s="3" t="s">
        <v>30</v>
      </c>
      <c r="G58" s="3" t="n">
        <v>156</v>
      </c>
      <c r="H58" s="4" t="n">
        <v>459.86</v>
      </c>
      <c r="I58" s="4" t="n">
        <v>71738.16</v>
      </c>
      <c r="J58" s="4" t="n">
        <v>46374.3951217498</v>
      </c>
      <c r="K58" s="4" t="n">
        <v>25363.7648782502</v>
      </c>
      <c r="L58" s="5" t="n">
        <f aca="false">K58/I58</f>
        <v>0.353560293130605</v>
      </c>
      <c r="M58" s="4" t="n">
        <v>76209.710683125</v>
      </c>
      <c r="N58" s="5" t="n">
        <f aca="false">I58/M58</f>
        <v>0.941325709767914</v>
      </c>
    </row>
    <row r="59" customFormat="false" ht="15" hidden="false" customHeight="false" outlineLevel="0" collapsed="false">
      <c r="A59" s="6" t="s">
        <v>96</v>
      </c>
      <c r="B59" s="7" t="s">
        <v>79</v>
      </c>
      <c r="C59" s="7" t="s">
        <v>40</v>
      </c>
      <c r="D59" s="7" t="s">
        <v>28</v>
      </c>
      <c r="E59" s="7" t="s">
        <v>54</v>
      </c>
      <c r="F59" s="7" t="s">
        <v>38</v>
      </c>
      <c r="G59" s="7" t="n">
        <v>355</v>
      </c>
      <c r="H59" s="8" t="n">
        <v>466.72</v>
      </c>
      <c r="I59" s="8" t="n">
        <v>165685.6</v>
      </c>
      <c r="J59" s="8" t="n">
        <v>94158.5542810246</v>
      </c>
      <c r="K59" s="8" t="n">
        <v>71527.0457189754</v>
      </c>
      <c r="L59" s="9" t="n">
        <f aca="false">K59/I59</f>
        <v>0.431703453522668</v>
      </c>
      <c r="M59" s="8" t="n">
        <v>193092.200042547</v>
      </c>
      <c r="N59" s="9" t="n">
        <f aca="false">I59/M59</f>
        <v>0.858064696365216</v>
      </c>
    </row>
    <row r="60" customFormat="false" ht="15" hidden="false" customHeight="false" outlineLevel="0" collapsed="false">
      <c r="A60" s="2" t="s">
        <v>97</v>
      </c>
      <c r="B60" s="3" t="s">
        <v>79</v>
      </c>
      <c r="C60" s="3" t="s">
        <v>27</v>
      </c>
      <c r="D60" s="3" t="s">
        <v>17</v>
      </c>
      <c r="E60" s="3" t="s">
        <v>18</v>
      </c>
      <c r="F60" s="3" t="s">
        <v>30</v>
      </c>
      <c r="G60" s="3" t="n">
        <v>57</v>
      </c>
      <c r="H60" s="4" t="n">
        <v>1645.93</v>
      </c>
      <c r="I60" s="4" t="n">
        <v>93818.01</v>
      </c>
      <c r="J60" s="4" t="n">
        <v>59835.6758247945</v>
      </c>
      <c r="K60" s="4" t="n">
        <v>33982.3341752056</v>
      </c>
      <c r="L60" s="5" t="n">
        <f aca="false">K60/I60</f>
        <v>0.362215465614817</v>
      </c>
      <c r="M60" s="4" t="n">
        <v>101837.431331901</v>
      </c>
      <c r="N60" s="5" t="n">
        <f aca="false">I60/M60</f>
        <v>0.921252713987209</v>
      </c>
    </row>
    <row r="61" customFormat="false" ht="15" hidden="false" customHeight="false" outlineLevel="0" collapsed="false">
      <c r="A61" s="6" t="s">
        <v>98</v>
      </c>
      <c r="B61" s="7" t="s">
        <v>79</v>
      </c>
      <c r="C61" s="7" t="s">
        <v>27</v>
      </c>
      <c r="D61" s="7" t="s">
        <v>25</v>
      </c>
      <c r="E61" s="7" t="s">
        <v>41</v>
      </c>
      <c r="F61" s="7" t="s">
        <v>23</v>
      </c>
      <c r="G61" s="7" t="n">
        <v>33</v>
      </c>
      <c r="H61" s="8" t="n">
        <v>527.44</v>
      </c>
      <c r="I61" s="8" t="n">
        <v>17405.52</v>
      </c>
      <c r="J61" s="8" t="n">
        <v>9899.98278550683</v>
      </c>
      <c r="K61" s="8" t="n">
        <v>7505.53721449318</v>
      </c>
      <c r="L61" s="9" t="n">
        <f aca="false">K61/I61</f>
        <v>0.431215913945299</v>
      </c>
      <c r="M61" s="8" t="n">
        <v>19971.2362534906</v>
      </c>
      <c r="N61" s="9" t="n">
        <f aca="false">I61/M61</f>
        <v>0.871529422569312</v>
      </c>
    </row>
    <row r="62" customFormat="false" ht="15" hidden="false" customHeight="false" outlineLevel="0" collapsed="false">
      <c r="A62" s="2" t="s">
        <v>99</v>
      </c>
      <c r="B62" s="3" t="s">
        <v>100</v>
      </c>
      <c r="C62" s="3" t="s">
        <v>16</v>
      </c>
      <c r="D62" s="3" t="s">
        <v>28</v>
      </c>
      <c r="E62" s="3" t="s">
        <v>22</v>
      </c>
      <c r="F62" s="3" t="s">
        <v>19</v>
      </c>
      <c r="G62" s="3" t="n">
        <v>377</v>
      </c>
      <c r="H62" s="4" t="n">
        <v>1407.89</v>
      </c>
      <c r="I62" s="4" t="n">
        <v>530774.53</v>
      </c>
      <c r="J62" s="4" t="n">
        <v>304449.240881061</v>
      </c>
      <c r="K62" s="4" t="n">
        <v>226325.289118939</v>
      </c>
      <c r="L62" s="5" t="n">
        <f aca="false">K62/I62</f>
        <v>0.426405707747391</v>
      </c>
      <c r="M62" s="4" t="n">
        <v>496483.604685596</v>
      </c>
      <c r="N62" s="5" t="n">
        <f aca="false">I62/M62</f>
        <v>1.06906758851809</v>
      </c>
    </row>
    <row r="63" customFormat="false" ht="15" hidden="false" customHeight="false" outlineLevel="0" collapsed="false">
      <c r="A63" s="6" t="s">
        <v>101</v>
      </c>
      <c r="B63" s="7" t="s">
        <v>100</v>
      </c>
      <c r="C63" s="7" t="s">
        <v>16</v>
      </c>
      <c r="D63" s="7" t="s">
        <v>17</v>
      </c>
      <c r="E63" s="7" t="s">
        <v>22</v>
      </c>
      <c r="F63" s="7" t="s">
        <v>19</v>
      </c>
      <c r="G63" s="7" t="n">
        <v>100</v>
      </c>
      <c r="H63" s="8" t="n">
        <v>1618.01</v>
      </c>
      <c r="I63" s="8" t="n">
        <v>161801</v>
      </c>
      <c r="J63" s="8" t="n">
        <v>100960.255333657</v>
      </c>
      <c r="K63" s="8" t="n">
        <v>60840.7446663427</v>
      </c>
      <c r="L63" s="9" t="n">
        <f aca="false">K63/I63</f>
        <v>0.37602205589794</v>
      </c>
      <c r="M63" s="8" t="n">
        <v>163838.4725559</v>
      </c>
      <c r="N63" s="9" t="n">
        <f aca="false">I63/M63</f>
        <v>0.987564138482771</v>
      </c>
    </row>
    <row r="64" customFormat="false" ht="15" hidden="false" customHeight="false" outlineLevel="0" collapsed="false">
      <c r="A64" s="2" t="s">
        <v>102</v>
      </c>
      <c r="B64" s="3" t="s">
        <v>100</v>
      </c>
      <c r="C64" s="3" t="s">
        <v>21</v>
      </c>
      <c r="D64" s="3" t="s">
        <v>25</v>
      </c>
      <c r="E64" s="3" t="s">
        <v>34</v>
      </c>
      <c r="F64" s="3" t="s">
        <v>38</v>
      </c>
      <c r="G64" s="3" t="n">
        <v>78</v>
      </c>
      <c r="H64" s="4" t="n">
        <v>1612.76</v>
      </c>
      <c r="I64" s="4" t="n">
        <v>125795.28</v>
      </c>
      <c r="J64" s="4" t="n">
        <v>77602.4079481164</v>
      </c>
      <c r="K64" s="4" t="n">
        <v>48192.8720518837</v>
      </c>
      <c r="L64" s="5" t="n">
        <f aca="false">K64/I64</f>
        <v>0.383105566853412</v>
      </c>
      <c r="M64" s="4" t="n">
        <v>150421.260710183</v>
      </c>
      <c r="N64" s="5" t="n">
        <f aca="false">I64/M64</f>
        <v>0.836286568840624</v>
      </c>
    </row>
    <row r="65" customFormat="false" ht="15" hidden="false" customHeight="false" outlineLevel="0" collapsed="false">
      <c r="A65" s="6" t="s">
        <v>103</v>
      </c>
      <c r="B65" s="7" t="s">
        <v>100</v>
      </c>
      <c r="C65" s="7" t="s">
        <v>21</v>
      </c>
      <c r="D65" s="7" t="s">
        <v>45</v>
      </c>
      <c r="E65" s="7" t="s">
        <v>54</v>
      </c>
      <c r="F65" s="7" t="s">
        <v>38</v>
      </c>
      <c r="G65" s="7" t="n">
        <v>435</v>
      </c>
      <c r="H65" s="8" t="n">
        <v>1818.37</v>
      </c>
      <c r="I65" s="8" t="n">
        <v>790990.95</v>
      </c>
      <c r="J65" s="8" t="n">
        <v>444124.33540862</v>
      </c>
      <c r="K65" s="8" t="n">
        <v>346866.61459138</v>
      </c>
      <c r="L65" s="9" t="n">
        <f aca="false">K65/I65</f>
        <v>0.438521596980825</v>
      </c>
      <c r="M65" s="8" t="n">
        <v>716404.670070607</v>
      </c>
      <c r="N65" s="9" t="n">
        <f aca="false">I65/M65</f>
        <v>1.104111939865</v>
      </c>
    </row>
    <row r="66" customFormat="false" ht="15" hidden="false" customHeight="false" outlineLevel="0" collapsed="false">
      <c r="A66" s="2" t="s">
        <v>104</v>
      </c>
      <c r="B66" s="3" t="s">
        <v>100</v>
      </c>
      <c r="C66" s="3" t="s">
        <v>32</v>
      </c>
      <c r="D66" s="3" t="s">
        <v>28</v>
      </c>
      <c r="E66" s="3" t="s">
        <v>18</v>
      </c>
      <c r="F66" s="3" t="s">
        <v>19</v>
      </c>
      <c r="G66" s="3" t="n">
        <v>440</v>
      </c>
      <c r="H66" s="4" t="n">
        <v>1293.44</v>
      </c>
      <c r="I66" s="4" t="n">
        <v>569113.6</v>
      </c>
      <c r="J66" s="4" t="n">
        <v>365059.865699906</v>
      </c>
      <c r="K66" s="4" t="n">
        <v>204053.734300094</v>
      </c>
      <c r="L66" s="5" t="n">
        <f aca="false">K66/I66</f>
        <v>0.358546578925709</v>
      </c>
      <c r="M66" s="4" t="n">
        <v>587584.144605251</v>
      </c>
      <c r="N66" s="5" t="n">
        <f aca="false">I66/M66</f>
        <v>0.968565277373746</v>
      </c>
    </row>
    <row r="67" customFormat="false" ht="15" hidden="false" customHeight="false" outlineLevel="0" collapsed="false">
      <c r="A67" s="6" t="s">
        <v>105</v>
      </c>
      <c r="B67" s="7" t="s">
        <v>100</v>
      </c>
      <c r="C67" s="7" t="s">
        <v>27</v>
      </c>
      <c r="D67" s="7" t="s">
        <v>45</v>
      </c>
      <c r="E67" s="7" t="s">
        <v>54</v>
      </c>
      <c r="F67" s="7" t="s">
        <v>23</v>
      </c>
      <c r="G67" s="7" t="n">
        <v>375</v>
      </c>
      <c r="H67" s="8" t="n">
        <v>607.17</v>
      </c>
      <c r="I67" s="8" t="n">
        <v>227688.75</v>
      </c>
      <c r="J67" s="8" t="n">
        <v>117926.555771915</v>
      </c>
      <c r="K67" s="8" t="n">
        <v>109762.194228085</v>
      </c>
      <c r="L67" s="9" t="n">
        <f aca="false">K67/I67</f>
        <v>0.482071223229454</v>
      </c>
      <c r="M67" s="8" t="n">
        <v>219013.432698708</v>
      </c>
      <c r="N67" s="9" t="n">
        <f aca="false">I67/M67</f>
        <v>1.03961089141608</v>
      </c>
    </row>
    <row r="68" customFormat="false" ht="15" hidden="false" customHeight="false" outlineLevel="0" collapsed="false">
      <c r="A68" s="2" t="s">
        <v>106</v>
      </c>
      <c r="B68" s="3" t="s">
        <v>100</v>
      </c>
      <c r="C68" s="3" t="s">
        <v>21</v>
      </c>
      <c r="D68" s="3" t="s">
        <v>17</v>
      </c>
      <c r="E68" s="3" t="s">
        <v>41</v>
      </c>
      <c r="F68" s="3" t="s">
        <v>19</v>
      </c>
      <c r="G68" s="3" t="n">
        <v>128</v>
      </c>
      <c r="H68" s="4" t="n">
        <v>796.92</v>
      </c>
      <c r="I68" s="4" t="n">
        <v>102005.76</v>
      </c>
      <c r="J68" s="4" t="n">
        <v>49799.3463373011</v>
      </c>
      <c r="K68" s="4" t="n">
        <v>52206.4136626989</v>
      </c>
      <c r="L68" s="5" t="n">
        <f aca="false">K68/I68</f>
        <v>0.511798683355713</v>
      </c>
      <c r="M68" s="4" t="n">
        <v>94343.445041684</v>
      </c>
      <c r="N68" s="5" t="n">
        <f aca="false">I68/M68</f>
        <v>1.08121724784303</v>
      </c>
    </row>
    <row r="69" customFormat="false" ht="15" hidden="false" customHeight="false" outlineLevel="0" collapsed="false">
      <c r="A69" s="6" t="s">
        <v>107</v>
      </c>
      <c r="B69" s="7" t="s">
        <v>100</v>
      </c>
      <c r="C69" s="7" t="s">
        <v>32</v>
      </c>
      <c r="D69" s="7" t="s">
        <v>28</v>
      </c>
      <c r="E69" s="7" t="s">
        <v>29</v>
      </c>
      <c r="F69" s="7" t="s">
        <v>38</v>
      </c>
      <c r="G69" s="7" t="n">
        <v>222</v>
      </c>
      <c r="H69" s="8" t="n">
        <v>171.42</v>
      </c>
      <c r="I69" s="8" t="n">
        <v>38055.24</v>
      </c>
      <c r="J69" s="8" t="n">
        <v>25048.8263357832</v>
      </c>
      <c r="K69" s="8" t="n">
        <v>13006.4136642168</v>
      </c>
      <c r="L69" s="9" t="n">
        <f aca="false">K69/I69</f>
        <v>0.341777207664878</v>
      </c>
      <c r="M69" s="8" t="n">
        <v>37534.5257531664</v>
      </c>
      <c r="N69" s="9" t="n">
        <f aca="false">I69/M69</f>
        <v>1.01387294061627</v>
      </c>
    </row>
    <row r="70" customFormat="false" ht="15" hidden="false" customHeight="false" outlineLevel="0" collapsed="false">
      <c r="A70" s="2" t="s">
        <v>108</v>
      </c>
      <c r="B70" s="3" t="s">
        <v>100</v>
      </c>
      <c r="C70" s="3" t="s">
        <v>21</v>
      </c>
      <c r="D70" s="3" t="s">
        <v>17</v>
      </c>
      <c r="E70" s="3" t="s">
        <v>22</v>
      </c>
      <c r="F70" s="3" t="s">
        <v>38</v>
      </c>
      <c r="G70" s="3" t="n">
        <v>13</v>
      </c>
      <c r="H70" s="4" t="n">
        <v>1888.35</v>
      </c>
      <c r="I70" s="4" t="n">
        <v>24548.55</v>
      </c>
      <c r="J70" s="4" t="n">
        <v>12879.474406849</v>
      </c>
      <c r="K70" s="4" t="n">
        <v>11669.075593151</v>
      </c>
      <c r="L70" s="5" t="n">
        <f aca="false">K70/I70</f>
        <v>0.475346836906904</v>
      </c>
      <c r="M70" s="4" t="n">
        <v>24217.0298552636</v>
      </c>
      <c r="N70" s="5" t="n">
        <f aca="false">I70/M70</f>
        <v>1.01368954602269</v>
      </c>
    </row>
    <row r="71" customFormat="false" ht="15" hidden="false" customHeight="false" outlineLevel="0" collapsed="false">
      <c r="A71" s="6" t="s">
        <v>109</v>
      </c>
      <c r="B71" s="7" t="s">
        <v>100</v>
      </c>
      <c r="C71" s="7" t="s">
        <v>32</v>
      </c>
      <c r="D71" s="7" t="s">
        <v>51</v>
      </c>
      <c r="E71" s="7" t="s">
        <v>59</v>
      </c>
      <c r="F71" s="7" t="s">
        <v>38</v>
      </c>
      <c r="G71" s="7" t="n">
        <v>122</v>
      </c>
      <c r="H71" s="8" t="n">
        <v>582.22</v>
      </c>
      <c r="I71" s="8" t="n">
        <v>71030.84</v>
      </c>
      <c r="J71" s="8" t="n">
        <v>40587.7676896956</v>
      </c>
      <c r="K71" s="8" t="n">
        <v>30443.0723103044</v>
      </c>
      <c r="L71" s="9" t="n">
        <f aca="false">K71/I71</f>
        <v>0.428589501550375</v>
      </c>
      <c r="M71" s="8" t="n">
        <v>70043.5128253181</v>
      </c>
      <c r="N71" s="9" t="n">
        <f aca="false">I71/M71</f>
        <v>1.0140959117391</v>
      </c>
    </row>
    <row r="72" customFormat="false" ht="15" hidden="false" customHeight="false" outlineLevel="0" collapsed="false">
      <c r="A72" s="2" t="s">
        <v>110</v>
      </c>
      <c r="B72" s="3" t="s">
        <v>100</v>
      </c>
      <c r="C72" s="3" t="s">
        <v>32</v>
      </c>
      <c r="D72" s="3" t="s">
        <v>25</v>
      </c>
      <c r="E72" s="3" t="s">
        <v>54</v>
      </c>
      <c r="F72" s="3" t="s">
        <v>19</v>
      </c>
      <c r="G72" s="3" t="n">
        <v>328</v>
      </c>
      <c r="H72" s="4" t="n">
        <v>1091.54</v>
      </c>
      <c r="I72" s="4" t="n">
        <v>358025.12</v>
      </c>
      <c r="J72" s="4" t="n">
        <v>242287.132714773</v>
      </c>
      <c r="K72" s="4" t="n">
        <v>115737.987285227</v>
      </c>
      <c r="L72" s="5" t="n">
        <f aca="false">K72/I72</f>
        <v>0.323267784353308</v>
      </c>
      <c r="M72" s="4" t="n">
        <v>378490.720707461</v>
      </c>
      <c r="N72" s="5" t="n">
        <f aca="false">I72/M72</f>
        <v>0.945928395102509</v>
      </c>
    </row>
    <row r="73" customFormat="false" ht="15" hidden="false" customHeight="false" outlineLevel="0" collapsed="false">
      <c r="A73" s="6" t="s">
        <v>111</v>
      </c>
      <c r="B73" s="7" t="s">
        <v>100</v>
      </c>
      <c r="C73" s="7" t="s">
        <v>16</v>
      </c>
      <c r="D73" s="7" t="s">
        <v>17</v>
      </c>
      <c r="E73" s="7" t="s">
        <v>22</v>
      </c>
      <c r="F73" s="7" t="s">
        <v>19</v>
      </c>
      <c r="G73" s="7" t="n">
        <v>453</v>
      </c>
      <c r="H73" s="8" t="n">
        <v>950.31</v>
      </c>
      <c r="I73" s="8" t="n">
        <v>430490.43</v>
      </c>
      <c r="J73" s="8" t="n">
        <v>199132.456873228</v>
      </c>
      <c r="K73" s="8" t="n">
        <v>231357.973126772</v>
      </c>
      <c r="L73" s="9" t="n">
        <f aca="false">K73/I73</f>
        <v>0.537428841627843</v>
      </c>
      <c r="M73" s="8" t="n">
        <v>423037.070428155</v>
      </c>
      <c r="N73" s="9" t="n">
        <f aca="false">I73/M73</f>
        <v>1.01761869134613</v>
      </c>
    </row>
    <row r="74" customFormat="false" ht="15" hidden="false" customHeight="false" outlineLevel="0" collapsed="false">
      <c r="A74" s="2" t="s">
        <v>112</v>
      </c>
      <c r="B74" s="3" t="s">
        <v>100</v>
      </c>
      <c r="C74" s="3" t="s">
        <v>27</v>
      </c>
      <c r="D74" s="3" t="s">
        <v>28</v>
      </c>
      <c r="E74" s="3" t="s">
        <v>29</v>
      </c>
      <c r="F74" s="3" t="s">
        <v>30</v>
      </c>
      <c r="G74" s="3" t="n">
        <v>399</v>
      </c>
      <c r="H74" s="4" t="n">
        <v>1765.3</v>
      </c>
      <c r="I74" s="4" t="n">
        <v>704354.7</v>
      </c>
      <c r="J74" s="4" t="n">
        <v>365957.453757822</v>
      </c>
      <c r="K74" s="4" t="n">
        <v>338397.246242178</v>
      </c>
      <c r="L74" s="5" t="n">
        <f aca="false">K74/I74</f>
        <v>0.480435846090299</v>
      </c>
      <c r="M74" s="4" t="n">
        <v>833196.277369103</v>
      </c>
      <c r="N74" s="5" t="n">
        <f aca="false">I74/M74</f>
        <v>0.845364674724745</v>
      </c>
    </row>
    <row r="75" customFormat="false" ht="15" hidden="false" customHeight="false" outlineLevel="0" collapsed="false">
      <c r="A75" s="6" t="s">
        <v>113</v>
      </c>
      <c r="B75" s="7" t="s">
        <v>100</v>
      </c>
      <c r="C75" s="7" t="s">
        <v>32</v>
      </c>
      <c r="D75" s="7" t="s">
        <v>45</v>
      </c>
      <c r="E75" s="7" t="s">
        <v>34</v>
      </c>
      <c r="F75" s="7" t="s">
        <v>38</v>
      </c>
      <c r="G75" s="7" t="n">
        <v>19</v>
      </c>
      <c r="H75" s="8" t="n">
        <v>1510.6</v>
      </c>
      <c r="I75" s="8" t="n">
        <v>28701.4</v>
      </c>
      <c r="J75" s="8" t="n">
        <v>13289.3624691082</v>
      </c>
      <c r="K75" s="8" t="n">
        <v>15412.0375308918</v>
      </c>
      <c r="L75" s="9" t="n">
        <f aca="false">K75/I75</f>
        <v>0.536978597939186</v>
      </c>
      <c r="M75" s="8" t="n">
        <v>33958.6897506257</v>
      </c>
      <c r="N75" s="9" t="n">
        <f aca="false">I75/M75</f>
        <v>0.845185730390885</v>
      </c>
    </row>
    <row r="76" customFormat="false" ht="15" hidden="false" customHeight="false" outlineLevel="0" collapsed="false">
      <c r="A76" s="2" t="s">
        <v>114</v>
      </c>
      <c r="B76" s="3" t="s">
        <v>100</v>
      </c>
      <c r="C76" s="3" t="s">
        <v>27</v>
      </c>
      <c r="D76" s="3" t="s">
        <v>17</v>
      </c>
      <c r="E76" s="3" t="s">
        <v>36</v>
      </c>
      <c r="F76" s="3" t="s">
        <v>23</v>
      </c>
      <c r="G76" s="3" t="n">
        <v>496</v>
      </c>
      <c r="H76" s="4" t="n">
        <v>532.2</v>
      </c>
      <c r="I76" s="4" t="n">
        <v>263971.2</v>
      </c>
      <c r="J76" s="4" t="n">
        <v>174170.10140709</v>
      </c>
      <c r="K76" s="4" t="n">
        <v>89801.0985929098</v>
      </c>
      <c r="L76" s="5" t="n">
        <f aca="false">K76/I76</f>
        <v>0.340192788428851</v>
      </c>
      <c r="M76" s="4" t="n">
        <v>281780.671605143</v>
      </c>
      <c r="N76" s="5" t="n">
        <f aca="false">I76/M76</f>
        <v>0.936796688347387</v>
      </c>
    </row>
    <row r="77" customFormat="false" ht="15" hidden="false" customHeight="false" outlineLevel="0" collapsed="false">
      <c r="A77" s="6" t="s">
        <v>115</v>
      </c>
      <c r="B77" s="7" t="s">
        <v>100</v>
      </c>
      <c r="C77" s="7" t="s">
        <v>27</v>
      </c>
      <c r="D77" s="7" t="s">
        <v>25</v>
      </c>
      <c r="E77" s="7" t="s">
        <v>54</v>
      </c>
      <c r="F77" s="7" t="s">
        <v>23</v>
      </c>
      <c r="G77" s="7" t="n">
        <v>298</v>
      </c>
      <c r="H77" s="8" t="n">
        <v>1898.13</v>
      </c>
      <c r="I77" s="8" t="n">
        <v>565642.74</v>
      </c>
      <c r="J77" s="8" t="n">
        <v>320300.007145853</v>
      </c>
      <c r="K77" s="8" t="n">
        <v>245342.732854147</v>
      </c>
      <c r="L77" s="9" t="n">
        <f aca="false">K77/I77</f>
        <v>0.433741504141195</v>
      </c>
      <c r="M77" s="8" t="n">
        <v>531526.164320907</v>
      </c>
      <c r="N77" s="9" t="n">
        <f aca="false">I77/M77</f>
        <v>1.06418607016774</v>
      </c>
    </row>
    <row r="78" customFormat="false" ht="15" hidden="false" customHeight="false" outlineLevel="0" collapsed="false">
      <c r="A78" s="2" t="s">
        <v>116</v>
      </c>
      <c r="B78" s="3" t="s">
        <v>100</v>
      </c>
      <c r="C78" s="3" t="s">
        <v>40</v>
      </c>
      <c r="D78" s="3" t="s">
        <v>25</v>
      </c>
      <c r="E78" s="3" t="s">
        <v>34</v>
      </c>
      <c r="F78" s="3" t="s">
        <v>19</v>
      </c>
      <c r="G78" s="3" t="n">
        <v>169</v>
      </c>
      <c r="H78" s="4" t="n">
        <v>260.79</v>
      </c>
      <c r="I78" s="4" t="n">
        <v>44073.51</v>
      </c>
      <c r="J78" s="4" t="n">
        <v>20116.0140857367</v>
      </c>
      <c r="K78" s="4" t="n">
        <v>23957.4959142633</v>
      </c>
      <c r="L78" s="5" t="n">
        <f aca="false">K78/I78</f>
        <v>0.543580393625633</v>
      </c>
      <c r="M78" s="4" t="n">
        <v>42274.6512556407</v>
      </c>
      <c r="N78" s="5" t="n">
        <f aca="false">I78/M78</f>
        <v>1.04255171103556</v>
      </c>
    </row>
    <row r="79" customFormat="false" ht="15" hidden="false" customHeight="false" outlineLevel="0" collapsed="false">
      <c r="A79" s="6" t="s">
        <v>117</v>
      </c>
      <c r="B79" s="7" t="s">
        <v>100</v>
      </c>
      <c r="C79" s="7" t="s">
        <v>32</v>
      </c>
      <c r="D79" s="7" t="s">
        <v>28</v>
      </c>
      <c r="E79" s="7" t="s">
        <v>59</v>
      </c>
      <c r="F79" s="7" t="s">
        <v>23</v>
      </c>
      <c r="G79" s="7" t="n">
        <v>313</v>
      </c>
      <c r="H79" s="8" t="n">
        <v>1396.7</v>
      </c>
      <c r="I79" s="8" t="n">
        <v>437167.1</v>
      </c>
      <c r="J79" s="8" t="n">
        <v>265277.62977049</v>
      </c>
      <c r="K79" s="8" t="n">
        <v>171889.47022951</v>
      </c>
      <c r="L79" s="9" t="n">
        <f aca="false">K79/I79</f>
        <v>0.393189401099739</v>
      </c>
      <c r="M79" s="8" t="n">
        <v>387183.799365811</v>
      </c>
      <c r="N79" s="9" t="n">
        <f aca="false">I79/M79</f>
        <v>1.12909450425369</v>
      </c>
    </row>
    <row r="80" customFormat="false" ht="15" hidden="false" customHeight="false" outlineLevel="0" collapsed="false">
      <c r="A80" s="2" t="s">
        <v>118</v>
      </c>
      <c r="B80" s="3" t="s">
        <v>100</v>
      </c>
      <c r="C80" s="3" t="s">
        <v>40</v>
      </c>
      <c r="D80" s="3" t="s">
        <v>51</v>
      </c>
      <c r="E80" s="3" t="s">
        <v>34</v>
      </c>
      <c r="F80" s="3" t="s">
        <v>23</v>
      </c>
      <c r="G80" s="3" t="n">
        <v>187</v>
      </c>
      <c r="H80" s="4" t="n">
        <v>1088.85</v>
      </c>
      <c r="I80" s="4" t="n">
        <v>203614.95</v>
      </c>
      <c r="J80" s="4" t="n">
        <v>125300.636176997</v>
      </c>
      <c r="K80" s="4" t="n">
        <v>78314.3138230028</v>
      </c>
      <c r="L80" s="5" t="n">
        <f aca="false">K80/I80</f>
        <v>0.384619664828161</v>
      </c>
      <c r="M80" s="4" t="n">
        <v>177986.925360513</v>
      </c>
      <c r="N80" s="5" t="n">
        <f aca="false">I80/M80</f>
        <v>1.14398824288681</v>
      </c>
    </row>
    <row r="81" customFormat="false" ht="15" hidden="false" customHeight="false" outlineLevel="0" collapsed="false">
      <c r="A81" s="6" t="s">
        <v>119</v>
      </c>
      <c r="B81" s="7" t="s">
        <v>100</v>
      </c>
      <c r="C81" s="7" t="s">
        <v>40</v>
      </c>
      <c r="D81" s="7" t="s">
        <v>17</v>
      </c>
      <c r="E81" s="7" t="s">
        <v>22</v>
      </c>
      <c r="F81" s="7" t="s">
        <v>38</v>
      </c>
      <c r="G81" s="7" t="n">
        <v>64</v>
      </c>
      <c r="H81" s="8" t="n">
        <v>895.37</v>
      </c>
      <c r="I81" s="8" t="n">
        <v>57303.68</v>
      </c>
      <c r="J81" s="8" t="n">
        <v>30975.3328644373</v>
      </c>
      <c r="K81" s="8" t="n">
        <v>26328.3471355627</v>
      </c>
      <c r="L81" s="9" t="n">
        <f aca="false">K81/I81</f>
        <v>0.459452990376232</v>
      </c>
      <c r="M81" s="8" t="n">
        <v>66589.8132705354</v>
      </c>
      <c r="N81" s="9" t="n">
        <f aca="false">I81/M81</f>
        <v>0.860547239668499</v>
      </c>
    </row>
    <row r="82" customFormat="false" ht="15" hidden="false" customHeight="false" outlineLevel="0" collapsed="false">
      <c r="A82" s="2" t="s">
        <v>120</v>
      </c>
      <c r="B82" s="3" t="s">
        <v>121</v>
      </c>
      <c r="C82" s="3" t="s">
        <v>32</v>
      </c>
      <c r="D82" s="3" t="s">
        <v>25</v>
      </c>
      <c r="E82" s="3" t="s">
        <v>22</v>
      </c>
      <c r="F82" s="3" t="s">
        <v>19</v>
      </c>
      <c r="G82" s="3" t="n">
        <v>385</v>
      </c>
      <c r="H82" s="4" t="n">
        <v>1067.41</v>
      </c>
      <c r="I82" s="4" t="n">
        <v>410952.85</v>
      </c>
      <c r="J82" s="4" t="n">
        <v>251755.614523453</v>
      </c>
      <c r="K82" s="4" t="n">
        <v>159197.235476548</v>
      </c>
      <c r="L82" s="5" t="n">
        <f aca="false">K82/I82</f>
        <v>0.387385646495815</v>
      </c>
      <c r="M82" s="4" t="n">
        <v>437898.750536981</v>
      </c>
      <c r="N82" s="5" t="n">
        <f aca="false">I82/M82</f>
        <v>0.938465454619503</v>
      </c>
    </row>
    <row r="83" customFormat="false" ht="15" hidden="false" customHeight="false" outlineLevel="0" collapsed="false">
      <c r="A83" s="6" t="s">
        <v>122</v>
      </c>
      <c r="B83" s="7" t="s">
        <v>121</v>
      </c>
      <c r="C83" s="7" t="s">
        <v>21</v>
      </c>
      <c r="D83" s="7" t="s">
        <v>28</v>
      </c>
      <c r="E83" s="7" t="s">
        <v>54</v>
      </c>
      <c r="F83" s="7" t="s">
        <v>38</v>
      </c>
      <c r="G83" s="7" t="n">
        <v>432</v>
      </c>
      <c r="H83" s="8" t="n">
        <v>1475.5</v>
      </c>
      <c r="I83" s="8" t="n">
        <v>637416</v>
      </c>
      <c r="J83" s="8" t="n">
        <v>329607.102570296</v>
      </c>
      <c r="K83" s="8" t="n">
        <v>307808.897429704</v>
      </c>
      <c r="L83" s="9" t="n">
        <f aca="false">K83/I83</f>
        <v>0.482901115487694</v>
      </c>
      <c r="M83" s="8" t="n">
        <v>731817.058462409</v>
      </c>
      <c r="N83" s="9" t="n">
        <f aca="false">I83/M83</f>
        <v>0.871004566823366</v>
      </c>
    </row>
    <row r="84" customFormat="false" ht="15" hidden="false" customHeight="false" outlineLevel="0" collapsed="false">
      <c r="A84" s="2" t="s">
        <v>123</v>
      </c>
      <c r="B84" s="3" t="s">
        <v>121</v>
      </c>
      <c r="C84" s="3" t="s">
        <v>16</v>
      </c>
      <c r="D84" s="3" t="s">
        <v>45</v>
      </c>
      <c r="E84" s="3" t="s">
        <v>54</v>
      </c>
      <c r="F84" s="3" t="s">
        <v>19</v>
      </c>
      <c r="G84" s="3" t="n">
        <v>394</v>
      </c>
      <c r="H84" s="4" t="n">
        <v>956.18</v>
      </c>
      <c r="I84" s="4" t="n">
        <v>376734.92</v>
      </c>
      <c r="J84" s="4" t="n">
        <v>227014.030441687</v>
      </c>
      <c r="K84" s="4" t="n">
        <v>149720.889558313</v>
      </c>
      <c r="L84" s="5" t="n">
        <f aca="false">K84/I84</f>
        <v>0.39741707394237</v>
      </c>
      <c r="M84" s="4" t="n">
        <v>370197.158810066</v>
      </c>
      <c r="N84" s="5" t="n">
        <f aca="false">I84/M84</f>
        <v>1.0176602143867</v>
      </c>
    </row>
    <row r="85" customFormat="false" ht="15" hidden="false" customHeight="false" outlineLevel="0" collapsed="false">
      <c r="A85" s="6" t="s">
        <v>124</v>
      </c>
      <c r="B85" s="7" t="s">
        <v>121</v>
      </c>
      <c r="C85" s="7" t="s">
        <v>16</v>
      </c>
      <c r="D85" s="7" t="s">
        <v>28</v>
      </c>
      <c r="E85" s="7" t="s">
        <v>29</v>
      </c>
      <c r="F85" s="7" t="s">
        <v>19</v>
      </c>
      <c r="G85" s="7" t="n">
        <v>259</v>
      </c>
      <c r="H85" s="8" t="n">
        <v>463.63</v>
      </c>
      <c r="I85" s="8" t="n">
        <v>120080.17</v>
      </c>
      <c r="J85" s="8" t="n">
        <v>77987.0377598546</v>
      </c>
      <c r="K85" s="8" t="n">
        <v>42093.1322401454</v>
      </c>
      <c r="L85" s="9" t="n">
        <f aca="false">K85/I85</f>
        <v>0.350541910792976</v>
      </c>
      <c r="M85" s="8" t="n">
        <v>116371.92565067</v>
      </c>
      <c r="N85" s="9" t="n">
        <f aca="false">I85/M85</f>
        <v>1.03186545490759</v>
      </c>
    </row>
    <row r="86" customFormat="false" ht="15" hidden="false" customHeight="false" outlineLevel="0" collapsed="false">
      <c r="A86" s="2" t="s">
        <v>125</v>
      </c>
      <c r="B86" s="3" t="s">
        <v>121</v>
      </c>
      <c r="C86" s="3" t="s">
        <v>21</v>
      </c>
      <c r="D86" s="3" t="s">
        <v>45</v>
      </c>
      <c r="E86" s="3" t="s">
        <v>36</v>
      </c>
      <c r="F86" s="3" t="s">
        <v>19</v>
      </c>
      <c r="G86" s="3" t="n">
        <v>53</v>
      </c>
      <c r="H86" s="4" t="n">
        <v>520.64</v>
      </c>
      <c r="I86" s="4" t="n">
        <v>27593.92</v>
      </c>
      <c r="J86" s="4" t="n">
        <v>15221.0002894771</v>
      </c>
      <c r="K86" s="4" t="n">
        <v>12372.9197105229</v>
      </c>
      <c r="L86" s="5" t="n">
        <f aca="false">K86/I86</f>
        <v>0.44839296883237</v>
      </c>
      <c r="M86" s="4" t="n">
        <v>28816.6527889025</v>
      </c>
      <c r="N86" s="5" t="n">
        <f aca="false">I86/M86</f>
        <v>0.957568535184856</v>
      </c>
    </row>
    <row r="87" customFormat="false" ht="15" hidden="false" customHeight="false" outlineLevel="0" collapsed="false">
      <c r="A87" s="6" t="s">
        <v>126</v>
      </c>
      <c r="B87" s="7" t="s">
        <v>121</v>
      </c>
      <c r="C87" s="7" t="s">
        <v>27</v>
      </c>
      <c r="D87" s="7" t="s">
        <v>28</v>
      </c>
      <c r="E87" s="7" t="s">
        <v>54</v>
      </c>
      <c r="F87" s="7" t="s">
        <v>38</v>
      </c>
      <c r="G87" s="7" t="n">
        <v>415</v>
      </c>
      <c r="H87" s="8" t="n">
        <v>83.62</v>
      </c>
      <c r="I87" s="8" t="n">
        <v>34702.3</v>
      </c>
      <c r="J87" s="8" t="n">
        <v>18168.6978534146</v>
      </c>
      <c r="K87" s="8" t="n">
        <v>16533.6021465854</v>
      </c>
      <c r="L87" s="9" t="n">
        <f aca="false">K87/I87</f>
        <v>0.476441104669876</v>
      </c>
      <c r="M87" s="8" t="n">
        <v>34408.732250702</v>
      </c>
      <c r="N87" s="9" t="n">
        <f aca="false">I87/M87</f>
        <v>1.008531780455</v>
      </c>
    </row>
    <row r="88" customFormat="false" ht="15" hidden="false" customHeight="false" outlineLevel="0" collapsed="false">
      <c r="A88" s="2" t="s">
        <v>127</v>
      </c>
      <c r="B88" s="3" t="s">
        <v>121</v>
      </c>
      <c r="C88" s="3" t="s">
        <v>27</v>
      </c>
      <c r="D88" s="3" t="s">
        <v>45</v>
      </c>
      <c r="E88" s="3" t="s">
        <v>29</v>
      </c>
      <c r="F88" s="3" t="s">
        <v>38</v>
      </c>
      <c r="G88" s="3" t="n">
        <v>293</v>
      </c>
      <c r="H88" s="4" t="n">
        <v>1085.3</v>
      </c>
      <c r="I88" s="4" t="n">
        <v>317992.9</v>
      </c>
      <c r="J88" s="4" t="n">
        <v>176923.602840797</v>
      </c>
      <c r="K88" s="4" t="n">
        <v>141069.297159203</v>
      </c>
      <c r="L88" s="5" t="n">
        <f aca="false">K88/I88</f>
        <v>0.443624046823696</v>
      </c>
      <c r="M88" s="4" t="n">
        <v>353314.725456664</v>
      </c>
      <c r="N88" s="5" t="n">
        <f aca="false">I88/M88</f>
        <v>0.900027304520041</v>
      </c>
    </row>
    <row r="89" customFormat="false" ht="15" hidden="false" customHeight="false" outlineLevel="0" collapsed="false">
      <c r="A89" s="6" t="s">
        <v>128</v>
      </c>
      <c r="B89" s="7" t="s">
        <v>121</v>
      </c>
      <c r="C89" s="7" t="s">
        <v>40</v>
      </c>
      <c r="D89" s="7" t="s">
        <v>45</v>
      </c>
      <c r="E89" s="7" t="s">
        <v>54</v>
      </c>
      <c r="F89" s="7" t="s">
        <v>30</v>
      </c>
      <c r="G89" s="7" t="n">
        <v>166</v>
      </c>
      <c r="H89" s="8" t="n">
        <v>540.24</v>
      </c>
      <c r="I89" s="8" t="n">
        <v>89679.84</v>
      </c>
      <c r="J89" s="8" t="n">
        <v>43061.0281099113</v>
      </c>
      <c r="K89" s="8" t="n">
        <v>46618.8118900887</v>
      </c>
      <c r="L89" s="9" t="n">
        <f aca="false">K89/I89</f>
        <v>0.519836028811924</v>
      </c>
      <c r="M89" s="8" t="n">
        <v>82272.6890181358</v>
      </c>
      <c r="N89" s="9" t="n">
        <f aca="false">I89/M89</f>
        <v>1.09003171125513</v>
      </c>
    </row>
    <row r="90" customFormat="false" ht="15" hidden="false" customHeight="false" outlineLevel="0" collapsed="false">
      <c r="A90" s="2" t="s">
        <v>129</v>
      </c>
      <c r="B90" s="3" t="s">
        <v>121</v>
      </c>
      <c r="C90" s="3" t="s">
        <v>16</v>
      </c>
      <c r="D90" s="3" t="s">
        <v>51</v>
      </c>
      <c r="E90" s="3" t="s">
        <v>41</v>
      </c>
      <c r="F90" s="3" t="s">
        <v>19</v>
      </c>
      <c r="G90" s="3" t="n">
        <v>120</v>
      </c>
      <c r="H90" s="4" t="n">
        <v>1490.28</v>
      </c>
      <c r="I90" s="4" t="n">
        <v>178833.6</v>
      </c>
      <c r="J90" s="4" t="n">
        <v>92836.9759223669</v>
      </c>
      <c r="K90" s="4" t="n">
        <v>85996.6240776331</v>
      </c>
      <c r="L90" s="5" t="n">
        <f aca="false">K90/I90</f>
        <v>0.480875093257828</v>
      </c>
      <c r="M90" s="4" t="n">
        <v>188911.84211704</v>
      </c>
      <c r="N90" s="5" t="n">
        <f aca="false">I90/M90</f>
        <v>0.946651083361961</v>
      </c>
    </row>
    <row r="91" customFormat="false" ht="15" hidden="false" customHeight="false" outlineLevel="0" collapsed="false">
      <c r="A91" s="6" t="s">
        <v>130</v>
      </c>
      <c r="B91" s="7" t="s">
        <v>121</v>
      </c>
      <c r="C91" s="7" t="s">
        <v>21</v>
      </c>
      <c r="D91" s="7" t="s">
        <v>51</v>
      </c>
      <c r="E91" s="7" t="s">
        <v>18</v>
      </c>
      <c r="F91" s="7" t="s">
        <v>23</v>
      </c>
      <c r="G91" s="7" t="n">
        <v>436</v>
      </c>
      <c r="H91" s="8" t="n">
        <v>428.53</v>
      </c>
      <c r="I91" s="8" t="n">
        <v>186839.08</v>
      </c>
      <c r="J91" s="8" t="n">
        <v>94703.2722451425</v>
      </c>
      <c r="K91" s="8" t="n">
        <v>92135.8077548575</v>
      </c>
      <c r="L91" s="9" t="n">
        <f aca="false">K91/I91</f>
        <v>0.493129209129361</v>
      </c>
      <c r="M91" s="8" t="n">
        <v>170547.560527586</v>
      </c>
      <c r="N91" s="9" t="n">
        <f aca="false">I91/M91</f>
        <v>1.095524787467</v>
      </c>
    </row>
    <row r="92" customFormat="false" ht="15" hidden="false" customHeight="false" outlineLevel="0" collapsed="false">
      <c r="A92" s="2" t="s">
        <v>131</v>
      </c>
      <c r="B92" s="3" t="s">
        <v>121</v>
      </c>
      <c r="C92" s="3" t="s">
        <v>16</v>
      </c>
      <c r="D92" s="3" t="s">
        <v>51</v>
      </c>
      <c r="E92" s="3" t="s">
        <v>41</v>
      </c>
      <c r="F92" s="3" t="s">
        <v>30</v>
      </c>
      <c r="G92" s="3" t="n">
        <v>33</v>
      </c>
      <c r="H92" s="4" t="n">
        <v>1949.88</v>
      </c>
      <c r="I92" s="4" t="n">
        <v>64346.04</v>
      </c>
      <c r="J92" s="4" t="n">
        <v>37857.3325529955</v>
      </c>
      <c r="K92" s="4" t="n">
        <v>26488.7074470045</v>
      </c>
      <c r="L92" s="5" t="n">
        <f aca="false">K92/I92</f>
        <v>0.411660258300348</v>
      </c>
      <c r="M92" s="4" t="n">
        <v>70400.7506113133</v>
      </c>
      <c r="N92" s="5" t="n">
        <f aca="false">I92/M92</f>
        <v>0.913996504884704</v>
      </c>
    </row>
    <row r="93" customFormat="false" ht="15" hidden="false" customHeight="false" outlineLevel="0" collapsed="false">
      <c r="A93" s="6" t="s">
        <v>132</v>
      </c>
      <c r="B93" s="7" t="s">
        <v>121</v>
      </c>
      <c r="C93" s="7" t="s">
        <v>27</v>
      </c>
      <c r="D93" s="7" t="s">
        <v>28</v>
      </c>
      <c r="E93" s="7" t="s">
        <v>34</v>
      </c>
      <c r="F93" s="7" t="s">
        <v>23</v>
      </c>
      <c r="G93" s="7" t="n">
        <v>303</v>
      </c>
      <c r="H93" s="8" t="n">
        <v>604.46</v>
      </c>
      <c r="I93" s="8" t="n">
        <v>183151.38</v>
      </c>
      <c r="J93" s="8" t="n">
        <v>104337.412982967</v>
      </c>
      <c r="K93" s="8" t="n">
        <v>78813.9670170326</v>
      </c>
      <c r="L93" s="9" t="n">
        <f aca="false">K93/I93</f>
        <v>0.430321447848401</v>
      </c>
      <c r="M93" s="8" t="n">
        <v>177518.939602912</v>
      </c>
      <c r="N93" s="9" t="n">
        <f aca="false">I93/M93</f>
        <v>1.03172867306265</v>
      </c>
    </row>
    <row r="94" customFormat="false" ht="15" hidden="false" customHeight="false" outlineLevel="0" collapsed="false">
      <c r="A94" s="2" t="s">
        <v>133</v>
      </c>
      <c r="B94" s="3" t="s">
        <v>121</v>
      </c>
      <c r="C94" s="3" t="s">
        <v>16</v>
      </c>
      <c r="D94" s="3" t="s">
        <v>45</v>
      </c>
      <c r="E94" s="3" t="s">
        <v>54</v>
      </c>
      <c r="F94" s="3" t="s">
        <v>23</v>
      </c>
      <c r="G94" s="3" t="n">
        <v>430</v>
      </c>
      <c r="H94" s="4" t="n">
        <v>177.42</v>
      </c>
      <c r="I94" s="4" t="n">
        <v>76290.6</v>
      </c>
      <c r="J94" s="4" t="n">
        <v>43709.6800331354</v>
      </c>
      <c r="K94" s="4" t="n">
        <v>32580.9199668646</v>
      </c>
      <c r="L94" s="5" t="n">
        <f aca="false">K94/I94</f>
        <v>0.427063359927233</v>
      </c>
      <c r="M94" s="4" t="n">
        <v>80254.4615839484</v>
      </c>
      <c r="N94" s="5" t="n">
        <f aca="false">I94/M94</f>
        <v>0.950608832135742</v>
      </c>
    </row>
    <row r="95" customFormat="false" ht="15" hidden="false" customHeight="false" outlineLevel="0" collapsed="false">
      <c r="A95" s="6" t="s">
        <v>134</v>
      </c>
      <c r="B95" s="7" t="s">
        <v>121</v>
      </c>
      <c r="C95" s="7" t="s">
        <v>16</v>
      </c>
      <c r="D95" s="7" t="s">
        <v>25</v>
      </c>
      <c r="E95" s="7" t="s">
        <v>41</v>
      </c>
      <c r="F95" s="7" t="s">
        <v>30</v>
      </c>
      <c r="G95" s="7" t="n">
        <v>53</v>
      </c>
      <c r="H95" s="8" t="n">
        <v>1988.14</v>
      </c>
      <c r="I95" s="8" t="n">
        <v>105371.42</v>
      </c>
      <c r="J95" s="8" t="n">
        <v>50537.49132786</v>
      </c>
      <c r="K95" s="8" t="n">
        <v>54833.92867214</v>
      </c>
      <c r="L95" s="9" t="n">
        <f aca="false">K95/I95</f>
        <v>0.520387109447135</v>
      </c>
      <c r="M95" s="8" t="n">
        <v>117758.3789703</v>
      </c>
      <c r="N95" s="9" t="n">
        <f aca="false">I95/M95</f>
        <v>0.894810381404589</v>
      </c>
    </row>
    <row r="96" customFormat="false" ht="15" hidden="false" customHeight="false" outlineLevel="0" collapsed="false">
      <c r="A96" s="2" t="s">
        <v>135</v>
      </c>
      <c r="B96" s="3" t="s">
        <v>121</v>
      </c>
      <c r="C96" s="3" t="s">
        <v>21</v>
      </c>
      <c r="D96" s="3" t="s">
        <v>51</v>
      </c>
      <c r="E96" s="3" t="s">
        <v>59</v>
      </c>
      <c r="F96" s="3" t="s">
        <v>38</v>
      </c>
      <c r="G96" s="3" t="n">
        <v>240</v>
      </c>
      <c r="H96" s="4" t="n">
        <v>1821.58</v>
      </c>
      <c r="I96" s="4" t="n">
        <v>437179.2</v>
      </c>
      <c r="J96" s="4" t="n">
        <v>229229.791147861</v>
      </c>
      <c r="K96" s="4" t="n">
        <v>207949.408852139</v>
      </c>
      <c r="L96" s="5" t="n">
        <f aca="false">K96/I96</f>
        <v>0.475661716870653</v>
      </c>
      <c r="M96" s="4" t="n">
        <v>461654.152264093</v>
      </c>
      <c r="N96" s="5" t="n">
        <f aca="false">I96/M96</f>
        <v>0.946984225866787</v>
      </c>
    </row>
    <row r="97" customFormat="false" ht="15" hidden="false" customHeight="false" outlineLevel="0" collapsed="false">
      <c r="A97" s="6" t="s">
        <v>136</v>
      </c>
      <c r="B97" s="7" t="s">
        <v>121</v>
      </c>
      <c r="C97" s="7" t="s">
        <v>32</v>
      </c>
      <c r="D97" s="7" t="s">
        <v>45</v>
      </c>
      <c r="E97" s="7" t="s">
        <v>36</v>
      </c>
      <c r="F97" s="7" t="s">
        <v>23</v>
      </c>
      <c r="G97" s="7" t="n">
        <v>495</v>
      </c>
      <c r="H97" s="8" t="n">
        <v>1537.34</v>
      </c>
      <c r="I97" s="8" t="n">
        <v>760983.3</v>
      </c>
      <c r="J97" s="8" t="n">
        <v>461444.108009604</v>
      </c>
      <c r="K97" s="8" t="n">
        <v>299539.191990396</v>
      </c>
      <c r="L97" s="9" t="n">
        <f aca="false">K97/I97</f>
        <v>0.393621242398349</v>
      </c>
      <c r="M97" s="8" t="n">
        <v>717322.753614391</v>
      </c>
      <c r="N97" s="9" t="n">
        <f aca="false">I97/M97</f>
        <v>1.0608659716503</v>
      </c>
    </row>
    <row r="98" customFormat="false" ht="15" hidden="false" customHeight="false" outlineLevel="0" collapsed="false">
      <c r="A98" s="2" t="s">
        <v>137</v>
      </c>
      <c r="B98" s="3" t="s">
        <v>121</v>
      </c>
      <c r="C98" s="3" t="s">
        <v>16</v>
      </c>
      <c r="D98" s="3" t="s">
        <v>25</v>
      </c>
      <c r="E98" s="3" t="s">
        <v>59</v>
      </c>
      <c r="F98" s="3" t="s">
        <v>19</v>
      </c>
      <c r="G98" s="3" t="n">
        <v>292</v>
      </c>
      <c r="H98" s="4" t="n">
        <v>196.38</v>
      </c>
      <c r="I98" s="4" t="n">
        <v>57342.96</v>
      </c>
      <c r="J98" s="4" t="n">
        <v>25842.6904635471</v>
      </c>
      <c r="K98" s="4" t="n">
        <v>31500.2695364529</v>
      </c>
      <c r="L98" s="5" t="n">
        <f aca="false">K98/I98</f>
        <v>0.549331069349279</v>
      </c>
      <c r="M98" s="4" t="n">
        <v>57783.1415698107</v>
      </c>
      <c r="N98" s="5" t="n">
        <f aca="false">I98/M98</f>
        <v>0.992382180029467</v>
      </c>
    </row>
    <row r="99" customFormat="false" ht="15" hidden="false" customHeight="false" outlineLevel="0" collapsed="false">
      <c r="A99" s="6" t="s">
        <v>138</v>
      </c>
      <c r="B99" s="7" t="s">
        <v>121</v>
      </c>
      <c r="C99" s="7" t="s">
        <v>21</v>
      </c>
      <c r="D99" s="7" t="s">
        <v>28</v>
      </c>
      <c r="E99" s="7" t="s">
        <v>18</v>
      </c>
      <c r="F99" s="7" t="s">
        <v>23</v>
      </c>
      <c r="G99" s="7" t="n">
        <v>128</v>
      </c>
      <c r="H99" s="8" t="n">
        <v>611.8</v>
      </c>
      <c r="I99" s="8" t="n">
        <v>78310.4</v>
      </c>
      <c r="J99" s="8" t="n">
        <v>40774.6272214431</v>
      </c>
      <c r="K99" s="8" t="n">
        <v>37535.7727785569</v>
      </c>
      <c r="L99" s="9" t="n">
        <f aca="false">K99/I99</f>
        <v>0.479320406721928</v>
      </c>
      <c r="M99" s="8" t="n">
        <v>90124.4914408891</v>
      </c>
      <c r="N99" s="9" t="n">
        <f aca="false">I99/M99</f>
        <v>0.868913640986948</v>
      </c>
    </row>
    <row r="100" customFormat="false" ht="15" hidden="false" customHeight="false" outlineLevel="0" collapsed="false">
      <c r="A100" s="2" t="s">
        <v>139</v>
      </c>
      <c r="B100" s="3" t="s">
        <v>121</v>
      </c>
      <c r="C100" s="3" t="s">
        <v>16</v>
      </c>
      <c r="D100" s="3" t="s">
        <v>25</v>
      </c>
      <c r="E100" s="3" t="s">
        <v>18</v>
      </c>
      <c r="F100" s="3" t="s">
        <v>19</v>
      </c>
      <c r="G100" s="3" t="n">
        <v>227</v>
      </c>
      <c r="H100" s="4" t="n">
        <v>273.81</v>
      </c>
      <c r="I100" s="4" t="n">
        <v>62154.87</v>
      </c>
      <c r="J100" s="4" t="n">
        <v>31462.9420390141</v>
      </c>
      <c r="K100" s="4" t="n">
        <v>30691.927960986</v>
      </c>
      <c r="L100" s="5" t="n">
        <f aca="false">K100/I100</f>
        <v>0.493797637433494</v>
      </c>
      <c r="M100" s="4" t="n">
        <v>56072.7853993252</v>
      </c>
      <c r="N100" s="5" t="n">
        <f aca="false">I100/M100</f>
        <v>1.1084676738878</v>
      </c>
    </row>
    <row r="101" customFormat="false" ht="15" hidden="false" customHeight="false" outlineLevel="0" collapsed="false">
      <c r="A101" s="6" t="s">
        <v>140</v>
      </c>
      <c r="B101" s="7" t="s">
        <v>121</v>
      </c>
      <c r="C101" s="7" t="s">
        <v>40</v>
      </c>
      <c r="D101" s="7" t="s">
        <v>25</v>
      </c>
      <c r="E101" s="7" t="s">
        <v>34</v>
      </c>
      <c r="F101" s="7" t="s">
        <v>23</v>
      </c>
      <c r="G101" s="7" t="n">
        <v>94</v>
      </c>
      <c r="H101" s="8" t="n">
        <v>1595.63</v>
      </c>
      <c r="I101" s="8" t="n">
        <v>149989.22</v>
      </c>
      <c r="J101" s="8" t="n">
        <v>89807.6967557971</v>
      </c>
      <c r="K101" s="8" t="n">
        <v>60181.5232442029</v>
      </c>
      <c r="L101" s="9" t="n">
        <f aca="false">K101/I101</f>
        <v>0.401238990670149</v>
      </c>
      <c r="M101" s="8" t="n">
        <v>170760.342960644</v>
      </c>
      <c r="N101" s="9" t="n">
        <f aca="false">I101/M101</f>
        <v>0.878360967186445</v>
      </c>
    </row>
    <row r="102" customFormat="false" ht="15" hidden="false" customHeight="false" outlineLevel="0" collapsed="false">
      <c r="A102" s="2" t="s">
        <v>141</v>
      </c>
      <c r="B102" s="3" t="s">
        <v>142</v>
      </c>
      <c r="C102" s="3" t="s">
        <v>40</v>
      </c>
      <c r="D102" s="3" t="s">
        <v>28</v>
      </c>
      <c r="E102" s="3" t="s">
        <v>34</v>
      </c>
      <c r="F102" s="3" t="s">
        <v>38</v>
      </c>
      <c r="G102" s="3" t="n">
        <v>362</v>
      </c>
      <c r="H102" s="4" t="n">
        <v>642.98</v>
      </c>
      <c r="I102" s="4" t="n">
        <v>232758.76</v>
      </c>
      <c r="J102" s="4" t="n">
        <v>128163.287952443</v>
      </c>
      <c r="K102" s="4" t="n">
        <v>104595.472047557</v>
      </c>
      <c r="L102" s="5" t="n">
        <f aca="false">K102/I102</f>
        <v>0.449372870209299</v>
      </c>
      <c r="M102" s="4" t="n">
        <v>220023.636215843</v>
      </c>
      <c r="N102" s="5" t="n">
        <f aca="false">I102/M102</f>
        <v>1.05788070774207</v>
      </c>
    </row>
    <row r="103" customFormat="false" ht="15" hidden="false" customHeight="false" outlineLevel="0" collapsed="false">
      <c r="A103" s="6" t="s">
        <v>143</v>
      </c>
      <c r="B103" s="7" t="s">
        <v>142</v>
      </c>
      <c r="C103" s="7" t="s">
        <v>21</v>
      </c>
      <c r="D103" s="7" t="s">
        <v>28</v>
      </c>
      <c r="E103" s="7" t="s">
        <v>54</v>
      </c>
      <c r="F103" s="7" t="s">
        <v>23</v>
      </c>
      <c r="G103" s="7" t="n">
        <v>316</v>
      </c>
      <c r="H103" s="8" t="n">
        <v>127.73</v>
      </c>
      <c r="I103" s="8" t="n">
        <v>40362.68</v>
      </c>
      <c r="J103" s="8" t="n">
        <v>22522.6646805872</v>
      </c>
      <c r="K103" s="8" t="n">
        <v>17840.0153194128</v>
      </c>
      <c r="L103" s="9" t="n">
        <f aca="false">K103/I103</f>
        <v>0.441992833959807</v>
      </c>
      <c r="M103" s="8" t="n">
        <v>38861.6950241645</v>
      </c>
      <c r="N103" s="9" t="n">
        <f aca="false">I103/M103</f>
        <v>1.03862376499281</v>
      </c>
    </row>
    <row r="104" customFormat="false" ht="15" hidden="false" customHeight="false" outlineLevel="0" collapsed="false">
      <c r="A104" s="2" t="s">
        <v>144</v>
      </c>
      <c r="B104" s="3" t="s">
        <v>142</v>
      </c>
      <c r="C104" s="3" t="s">
        <v>40</v>
      </c>
      <c r="D104" s="3" t="s">
        <v>17</v>
      </c>
      <c r="E104" s="3" t="s">
        <v>34</v>
      </c>
      <c r="F104" s="3" t="s">
        <v>19</v>
      </c>
      <c r="G104" s="3" t="n">
        <v>355</v>
      </c>
      <c r="H104" s="4" t="n">
        <v>1680.12</v>
      </c>
      <c r="I104" s="4" t="n">
        <v>596442.6</v>
      </c>
      <c r="J104" s="4" t="n">
        <v>354167.483055205</v>
      </c>
      <c r="K104" s="4" t="n">
        <v>242275.116944795</v>
      </c>
      <c r="L104" s="5" t="n">
        <f aca="false">K104/I104</f>
        <v>0.406200222695018</v>
      </c>
      <c r="M104" s="4" t="n">
        <v>705457.5138527</v>
      </c>
      <c r="N104" s="5" t="n">
        <f aca="false">I104/M104</f>
        <v>0.845469200182816</v>
      </c>
    </row>
    <row r="105" customFormat="false" ht="15" hidden="false" customHeight="false" outlineLevel="0" collapsed="false">
      <c r="A105" s="6" t="s">
        <v>145</v>
      </c>
      <c r="B105" s="7" t="s">
        <v>142</v>
      </c>
      <c r="C105" s="7" t="s">
        <v>40</v>
      </c>
      <c r="D105" s="7" t="s">
        <v>51</v>
      </c>
      <c r="E105" s="7" t="s">
        <v>36</v>
      </c>
      <c r="F105" s="7" t="s">
        <v>19</v>
      </c>
      <c r="G105" s="7" t="n">
        <v>250</v>
      </c>
      <c r="H105" s="8" t="n">
        <v>1061.98</v>
      </c>
      <c r="I105" s="8" t="n">
        <v>265495</v>
      </c>
      <c r="J105" s="8" t="n">
        <v>148825.173931635</v>
      </c>
      <c r="K105" s="8" t="n">
        <v>116669.826068365</v>
      </c>
      <c r="L105" s="9" t="n">
        <f aca="false">K105/I105</f>
        <v>0.439442648894949</v>
      </c>
      <c r="M105" s="8" t="n">
        <v>251517.96272021</v>
      </c>
      <c r="N105" s="9" t="n">
        <f aca="false">I105/M105</f>
        <v>1.05557073192159</v>
      </c>
    </row>
    <row r="106" customFormat="false" ht="15" hidden="false" customHeight="false" outlineLevel="0" collapsed="false">
      <c r="A106" s="2" t="s">
        <v>146</v>
      </c>
      <c r="B106" s="3" t="s">
        <v>142</v>
      </c>
      <c r="C106" s="3" t="s">
        <v>21</v>
      </c>
      <c r="D106" s="3" t="s">
        <v>28</v>
      </c>
      <c r="E106" s="3" t="s">
        <v>54</v>
      </c>
      <c r="F106" s="3" t="s">
        <v>23</v>
      </c>
      <c r="G106" s="3" t="n">
        <v>250</v>
      </c>
      <c r="H106" s="4" t="n">
        <v>728.52</v>
      </c>
      <c r="I106" s="4" t="n">
        <v>182130</v>
      </c>
      <c r="J106" s="4" t="n">
        <v>97134.8644345558</v>
      </c>
      <c r="K106" s="4" t="n">
        <v>84995.1355654442</v>
      </c>
      <c r="L106" s="5" t="n">
        <f aca="false">K106/I106</f>
        <v>0.466672901583727</v>
      </c>
      <c r="M106" s="4" t="n">
        <v>197528.495631183</v>
      </c>
      <c r="N106" s="5" t="n">
        <f aca="false">I106/M106</f>
        <v>0.922044181109271</v>
      </c>
    </row>
    <row r="107" customFormat="false" ht="15" hidden="false" customHeight="false" outlineLevel="0" collapsed="false">
      <c r="A107" s="6" t="s">
        <v>147</v>
      </c>
      <c r="B107" s="7" t="s">
        <v>142</v>
      </c>
      <c r="C107" s="7" t="s">
        <v>27</v>
      </c>
      <c r="D107" s="7" t="s">
        <v>45</v>
      </c>
      <c r="E107" s="7" t="s">
        <v>22</v>
      </c>
      <c r="F107" s="7" t="s">
        <v>38</v>
      </c>
      <c r="G107" s="7" t="n">
        <v>157</v>
      </c>
      <c r="H107" s="8" t="n">
        <v>1342.04</v>
      </c>
      <c r="I107" s="8" t="n">
        <v>210700.28</v>
      </c>
      <c r="J107" s="8" t="n">
        <v>115908.976553967</v>
      </c>
      <c r="K107" s="8" t="n">
        <v>94791.3034460328</v>
      </c>
      <c r="L107" s="9" t="n">
        <f aca="false">K107/I107</f>
        <v>0.449886936296586</v>
      </c>
      <c r="M107" s="8" t="n">
        <v>235178.36821937</v>
      </c>
      <c r="N107" s="9" t="n">
        <f aca="false">I107/M107</f>
        <v>0.895916922952127</v>
      </c>
    </row>
    <row r="108" customFormat="false" ht="15" hidden="false" customHeight="false" outlineLevel="0" collapsed="false">
      <c r="A108" s="2" t="s">
        <v>148</v>
      </c>
      <c r="B108" s="3" t="s">
        <v>142</v>
      </c>
      <c r="C108" s="3" t="s">
        <v>16</v>
      </c>
      <c r="D108" s="3" t="s">
        <v>28</v>
      </c>
      <c r="E108" s="3" t="s">
        <v>34</v>
      </c>
      <c r="F108" s="3" t="s">
        <v>30</v>
      </c>
      <c r="G108" s="3" t="n">
        <v>139</v>
      </c>
      <c r="H108" s="4" t="n">
        <v>680.38</v>
      </c>
      <c r="I108" s="4" t="n">
        <v>94572.82</v>
      </c>
      <c r="J108" s="4" t="n">
        <v>65496.0453838042</v>
      </c>
      <c r="K108" s="4" t="n">
        <v>29076.7746161958</v>
      </c>
      <c r="L108" s="5" t="n">
        <f aca="false">K108/I108</f>
        <v>0.307453818297856</v>
      </c>
      <c r="M108" s="4" t="n">
        <v>93765.2882199774</v>
      </c>
      <c r="N108" s="5" t="n">
        <f aca="false">I108/M108</f>
        <v>1.00861226788029</v>
      </c>
    </row>
    <row r="109" customFormat="false" ht="15" hidden="false" customHeight="false" outlineLevel="0" collapsed="false">
      <c r="A109" s="6" t="s">
        <v>149</v>
      </c>
      <c r="B109" s="7" t="s">
        <v>142</v>
      </c>
      <c r="C109" s="7" t="s">
        <v>21</v>
      </c>
      <c r="D109" s="7" t="s">
        <v>17</v>
      </c>
      <c r="E109" s="7" t="s">
        <v>54</v>
      </c>
      <c r="F109" s="7" t="s">
        <v>38</v>
      </c>
      <c r="G109" s="7" t="n">
        <v>37</v>
      </c>
      <c r="H109" s="8" t="n">
        <v>415.79</v>
      </c>
      <c r="I109" s="8" t="n">
        <v>15384.23</v>
      </c>
      <c r="J109" s="8" t="n">
        <v>8314.3277176105</v>
      </c>
      <c r="K109" s="8" t="n">
        <v>7069.90228238951</v>
      </c>
      <c r="L109" s="9" t="n">
        <f aca="false">K109/I109</f>
        <v>0.459555160212081</v>
      </c>
      <c r="M109" s="8" t="n">
        <v>17149.6489123707</v>
      </c>
      <c r="N109" s="9" t="n">
        <f aca="false">I109/M109</f>
        <v>0.897058014342366</v>
      </c>
    </row>
    <row r="110" customFormat="false" ht="15" hidden="false" customHeight="false" outlineLevel="0" collapsed="false">
      <c r="A110" s="2" t="s">
        <v>150</v>
      </c>
      <c r="B110" s="3" t="s">
        <v>142</v>
      </c>
      <c r="C110" s="3" t="s">
        <v>32</v>
      </c>
      <c r="D110" s="3" t="s">
        <v>17</v>
      </c>
      <c r="E110" s="3" t="s">
        <v>59</v>
      </c>
      <c r="F110" s="3" t="s">
        <v>30</v>
      </c>
      <c r="G110" s="3" t="n">
        <v>291</v>
      </c>
      <c r="H110" s="4" t="n">
        <v>305.48</v>
      </c>
      <c r="I110" s="4" t="n">
        <v>88894.68</v>
      </c>
      <c r="J110" s="4" t="n">
        <v>46403.6706686028</v>
      </c>
      <c r="K110" s="4" t="n">
        <v>42491.0093313972</v>
      </c>
      <c r="L110" s="5" t="n">
        <f aca="false">K110/I110</f>
        <v>0.477992713752918</v>
      </c>
      <c r="M110" s="4" t="n">
        <v>102966.380362687</v>
      </c>
      <c r="N110" s="5" t="n">
        <f aca="false">I110/M110</f>
        <v>0.863336942474614</v>
      </c>
    </row>
    <row r="111" customFormat="false" ht="15" hidden="false" customHeight="false" outlineLevel="0" collapsed="false">
      <c r="A111" s="6" t="s">
        <v>151</v>
      </c>
      <c r="B111" s="7" t="s">
        <v>142</v>
      </c>
      <c r="C111" s="7" t="s">
        <v>32</v>
      </c>
      <c r="D111" s="7" t="s">
        <v>17</v>
      </c>
      <c r="E111" s="7" t="s">
        <v>36</v>
      </c>
      <c r="F111" s="7" t="s">
        <v>19</v>
      </c>
      <c r="G111" s="7" t="n">
        <v>373</v>
      </c>
      <c r="H111" s="8" t="n">
        <v>358.84</v>
      </c>
      <c r="I111" s="8" t="n">
        <v>133847.32</v>
      </c>
      <c r="J111" s="8" t="n">
        <v>78663.3752096921</v>
      </c>
      <c r="K111" s="8" t="n">
        <v>55183.9447903078</v>
      </c>
      <c r="L111" s="9" t="n">
        <f aca="false">K111/I111</f>
        <v>0.412290248249332</v>
      </c>
      <c r="M111" s="8" t="n">
        <v>139641.301873823</v>
      </c>
      <c r="N111" s="9" t="n">
        <f aca="false">I111/M111</f>
        <v>0.958508107586548</v>
      </c>
    </row>
    <row r="112" customFormat="false" ht="15" hidden="false" customHeight="false" outlineLevel="0" collapsed="false">
      <c r="A112" s="2" t="s">
        <v>152</v>
      </c>
      <c r="B112" s="3" t="s">
        <v>142</v>
      </c>
      <c r="C112" s="3" t="s">
        <v>16</v>
      </c>
      <c r="D112" s="3" t="s">
        <v>25</v>
      </c>
      <c r="E112" s="3" t="s">
        <v>34</v>
      </c>
      <c r="F112" s="3" t="s">
        <v>38</v>
      </c>
      <c r="G112" s="3" t="n">
        <v>494</v>
      </c>
      <c r="H112" s="4" t="n">
        <v>279.06</v>
      </c>
      <c r="I112" s="4" t="n">
        <v>137855.64</v>
      </c>
      <c r="J112" s="4" t="n">
        <v>90713.9454478858</v>
      </c>
      <c r="K112" s="4" t="n">
        <v>47141.6945521142</v>
      </c>
      <c r="L112" s="5" t="n">
        <f aca="false">K112/I112</f>
        <v>0.341964206557775</v>
      </c>
      <c r="M112" s="4" t="n">
        <v>141223.649956607</v>
      </c>
      <c r="N112" s="5" t="n">
        <f aca="false">I112/M112</f>
        <v>0.976151232759941</v>
      </c>
    </row>
    <row r="113" customFormat="false" ht="15" hidden="false" customHeight="false" outlineLevel="0" collapsed="false">
      <c r="A113" s="6" t="s">
        <v>153</v>
      </c>
      <c r="B113" s="7" t="s">
        <v>142</v>
      </c>
      <c r="C113" s="7" t="s">
        <v>40</v>
      </c>
      <c r="D113" s="7" t="s">
        <v>51</v>
      </c>
      <c r="E113" s="7" t="s">
        <v>18</v>
      </c>
      <c r="F113" s="7" t="s">
        <v>38</v>
      </c>
      <c r="G113" s="7" t="n">
        <v>437</v>
      </c>
      <c r="H113" s="8" t="n">
        <v>990.87</v>
      </c>
      <c r="I113" s="8" t="n">
        <v>433010.19</v>
      </c>
      <c r="J113" s="8" t="n">
        <v>245973.579870938</v>
      </c>
      <c r="K113" s="8" t="n">
        <v>187036.610129062</v>
      </c>
      <c r="L113" s="9" t="n">
        <f aca="false">K113/I113</f>
        <v>0.431945054524148</v>
      </c>
      <c r="M113" s="8" t="n">
        <v>437286.280571537</v>
      </c>
      <c r="N113" s="9" t="n">
        <f aca="false">I113/M113</f>
        <v>0.990221301784387</v>
      </c>
    </row>
    <row r="114" customFormat="false" ht="15" hidden="false" customHeight="false" outlineLevel="0" collapsed="false">
      <c r="A114" s="2" t="s">
        <v>154</v>
      </c>
      <c r="B114" s="3" t="s">
        <v>142</v>
      </c>
      <c r="C114" s="3" t="s">
        <v>27</v>
      </c>
      <c r="D114" s="3" t="s">
        <v>28</v>
      </c>
      <c r="E114" s="3" t="s">
        <v>59</v>
      </c>
      <c r="F114" s="3" t="s">
        <v>19</v>
      </c>
      <c r="G114" s="3" t="n">
        <v>452</v>
      </c>
      <c r="H114" s="4" t="n">
        <v>186.13</v>
      </c>
      <c r="I114" s="4" t="n">
        <v>84130.76</v>
      </c>
      <c r="J114" s="4" t="n">
        <v>54110.2785363043</v>
      </c>
      <c r="K114" s="4" t="n">
        <v>30020.4814636957</v>
      </c>
      <c r="L114" s="5" t="n">
        <f aca="false">K114/I114</f>
        <v>0.356831216830749</v>
      </c>
      <c r="M114" s="4" t="n">
        <v>96669.9730081647</v>
      </c>
      <c r="N114" s="5" t="n">
        <f aca="false">I114/M114</f>
        <v>0.870288439957404</v>
      </c>
    </row>
    <row r="115" customFormat="false" ht="15" hidden="false" customHeight="false" outlineLevel="0" collapsed="false">
      <c r="A115" s="6" t="s">
        <v>155</v>
      </c>
      <c r="B115" s="7" t="s">
        <v>142</v>
      </c>
      <c r="C115" s="7" t="s">
        <v>40</v>
      </c>
      <c r="D115" s="7" t="s">
        <v>51</v>
      </c>
      <c r="E115" s="7" t="s">
        <v>18</v>
      </c>
      <c r="F115" s="7" t="s">
        <v>23</v>
      </c>
      <c r="G115" s="7" t="n">
        <v>154</v>
      </c>
      <c r="H115" s="8" t="n">
        <v>1465.8</v>
      </c>
      <c r="I115" s="8" t="n">
        <v>225733.2</v>
      </c>
      <c r="J115" s="8" t="n">
        <v>148841.469983225</v>
      </c>
      <c r="K115" s="8" t="n">
        <v>76891.7300167751</v>
      </c>
      <c r="L115" s="9" t="n">
        <f aca="false">K115/I115</f>
        <v>0.340631019348395</v>
      </c>
      <c r="M115" s="8" t="n">
        <v>237691.00641959</v>
      </c>
      <c r="N115" s="9" t="n">
        <f aca="false">I115/M115</f>
        <v>0.94969180113411</v>
      </c>
    </row>
    <row r="116" customFormat="false" ht="15" hidden="false" customHeight="false" outlineLevel="0" collapsed="false">
      <c r="A116" s="2" t="s">
        <v>156</v>
      </c>
      <c r="B116" s="3" t="s">
        <v>142</v>
      </c>
      <c r="C116" s="3" t="s">
        <v>32</v>
      </c>
      <c r="D116" s="3" t="s">
        <v>25</v>
      </c>
      <c r="E116" s="3" t="s">
        <v>54</v>
      </c>
      <c r="F116" s="3" t="s">
        <v>38</v>
      </c>
      <c r="G116" s="3" t="n">
        <v>186</v>
      </c>
      <c r="H116" s="4" t="n">
        <v>698.26</v>
      </c>
      <c r="I116" s="4" t="n">
        <v>129876.36</v>
      </c>
      <c r="J116" s="4" t="n">
        <v>83214.1436281841</v>
      </c>
      <c r="K116" s="4" t="n">
        <v>46662.2163718159</v>
      </c>
      <c r="L116" s="5" t="n">
        <f aca="false">K116/I116</f>
        <v>0.359281830595005</v>
      </c>
      <c r="M116" s="4" t="n">
        <v>127541.640078846</v>
      </c>
      <c r="N116" s="5" t="n">
        <f aca="false">I116/M116</f>
        <v>1.01830555040464</v>
      </c>
    </row>
    <row r="117" customFormat="false" ht="15" hidden="false" customHeight="false" outlineLevel="0" collapsed="false">
      <c r="A117" s="6" t="s">
        <v>157</v>
      </c>
      <c r="B117" s="7" t="s">
        <v>142</v>
      </c>
      <c r="C117" s="7" t="s">
        <v>40</v>
      </c>
      <c r="D117" s="7" t="s">
        <v>25</v>
      </c>
      <c r="E117" s="7" t="s">
        <v>59</v>
      </c>
      <c r="F117" s="7" t="s">
        <v>38</v>
      </c>
      <c r="G117" s="7" t="n">
        <v>129</v>
      </c>
      <c r="H117" s="8" t="n">
        <v>1719.23</v>
      </c>
      <c r="I117" s="8" t="n">
        <v>221780.67</v>
      </c>
      <c r="J117" s="8" t="n">
        <v>122576.795477575</v>
      </c>
      <c r="K117" s="8" t="n">
        <v>99203.8745224252</v>
      </c>
      <c r="L117" s="9" t="n">
        <f aca="false">K117/I117</f>
        <v>0.447306226112606</v>
      </c>
      <c r="M117" s="8" t="n">
        <v>213211.445161218</v>
      </c>
      <c r="N117" s="9" t="n">
        <f aca="false">I117/M117</f>
        <v>1.04019120470903</v>
      </c>
    </row>
    <row r="118" customFormat="false" ht="15" hidden="false" customHeight="false" outlineLevel="0" collapsed="false">
      <c r="A118" s="2" t="s">
        <v>158</v>
      </c>
      <c r="B118" s="3" t="s">
        <v>142</v>
      </c>
      <c r="C118" s="3" t="s">
        <v>32</v>
      </c>
      <c r="D118" s="3" t="s">
        <v>28</v>
      </c>
      <c r="E118" s="3" t="s">
        <v>22</v>
      </c>
      <c r="F118" s="3" t="s">
        <v>19</v>
      </c>
      <c r="G118" s="3" t="n">
        <v>263</v>
      </c>
      <c r="H118" s="4" t="n">
        <v>1931.41</v>
      </c>
      <c r="I118" s="4" t="n">
        <v>507960.83</v>
      </c>
      <c r="J118" s="4" t="n">
        <v>244614.413499195</v>
      </c>
      <c r="K118" s="4" t="n">
        <v>263346.416500805</v>
      </c>
      <c r="L118" s="5" t="n">
        <f aca="false">K118/I118</f>
        <v>0.518438432547653</v>
      </c>
      <c r="M118" s="4" t="n">
        <v>603393.3393184</v>
      </c>
      <c r="N118" s="5" t="n">
        <f aca="false">I118/M118</f>
        <v>0.841840300348357</v>
      </c>
    </row>
    <row r="119" customFormat="false" ht="15" hidden="false" customHeight="false" outlineLevel="0" collapsed="false">
      <c r="A119" s="6" t="s">
        <v>159</v>
      </c>
      <c r="B119" s="7" t="s">
        <v>142</v>
      </c>
      <c r="C119" s="7" t="s">
        <v>40</v>
      </c>
      <c r="D119" s="7" t="s">
        <v>17</v>
      </c>
      <c r="E119" s="7" t="s">
        <v>54</v>
      </c>
      <c r="F119" s="7" t="s">
        <v>23</v>
      </c>
      <c r="G119" s="7" t="n">
        <v>279</v>
      </c>
      <c r="H119" s="8" t="n">
        <v>1825.36</v>
      </c>
      <c r="I119" s="8" t="n">
        <v>509275.44</v>
      </c>
      <c r="J119" s="8" t="n">
        <v>231127.986670309</v>
      </c>
      <c r="K119" s="8" t="n">
        <v>278147.453329691</v>
      </c>
      <c r="L119" s="9" t="n">
        <f aca="false">K119/I119</f>
        <v>0.546163100521185</v>
      </c>
      <c r="M119" s="8" t="n">
        <v>458579.308513233</v>
      </c>
      <c r="N119" s="9" t="n">
        <f aca="false">I119/M119</f>
        <v>1.11055041199118</v>
      </c>
    </row>
    <row r="120" customFormat="false" ht="15" hidden="false" customHeight="false" outlineLevel="0" collapsed="false">
      <c r="A120" s="2" t="s">
        <v>160</v>
      </c>
      <c r="B120" s="3" t="s">
        <v>142</v>
      </c>
      <c r="C120" s="3" t="s">
        <v>27</v>
      </c>
      <c r="D120" s="3" t="s">
        <v>17</v>
      </c>
      <c r="E120" s="3" t="s">
        <v>54</v>
      </c>
      <c r="F120" s="3" t="s">
        <v>30</v>
      </c>
      <c r="G120" s="3" t="n">
        <v>183</v>
      </c>
      <c r="H120" s="4" t="n">
        <v>1265.36</v>
      </c>
      <c r="I120" s="4" t="n">
        <v>231560.88</v>
      </c>
      <c r="J120" s="4" t="n">
        <v>127212.793066079</v>
      </c>
      <c r="K120" s="4" t="n">
        <v>104348.086933921</v>
      </c>
      <c r="L120" s="5" t="n">
        <f aca="false">K120/I120</f>
        <v>0.450629169028557</v>
      </c>
      <c r="M120" s="4" t="n">
        <v>203336.008208801</v>
      </c>
      <c r="N120" s="5" t="n">
        <f aca="false">I120/M120</f>
        <v>1.13880901882472</v>
      </c>
    </row>
    <row r="121" customFormat="false" ht="15" hidden="false" customHeight="false" outlineLevel="0" collapsed="false">
      <c r="A121" s="6" t="s">
        <v>161</v>
      </c>
      <c r="B121" s="7" t="s">
        <v>142</v>
      </c>
      <c r="C121" s="7" t="s">
        <v>40</v>
      </c>
      <c r="D121" s="7" t="s">
        <v>51</v>
      </c>
      <c r="E121" s="7" t="s">
        <v>22</v>
      </c>
      <c r="F121" s="7" t="s">
        <v>30</v>
      </c>
      <c r="G121" s="7" t="n">
        <v>330</v>
      </c>
      <c r="H121" s="8" t="n">
        <v>1451.5</v>
      </c>
      <c r="I121" s="8" t="n">
        <v>478995</v>
      </c>
      <c r="J121" s="8" t="n">
        <v>306485.167415528</v>
      </c>
      <c r="K121" s="8" t="n">
        <v>172509.832584472</v>
      </c>
      <c r="L121" s="9" t="n">
        <f aca="false">K121/I121</f>
        <v>0.360149547666409</v>
      </c>
      <c r="M121" s="8" t="n">
        <v>553399.236196584</v>
      </c>
      <c r="N121" s="9" t="n">
        <f aca="false">I121/M121</f>
        <v>0.865550526039842</v>
      </c>
    </row>
    <row r="122" customFormat="false" ht="15" hidden="false" customHeight="false" outlineLevel="0" collapsed="false">
      <c r="A122" s="2" t="s">
        <v>162</v>
      </c>
      <c r="B122" s="3" t="s">
        <v>163</v>
      </c>
      <c r="C122" s="3" t="s">
        <v>16</v>
      </c>
      <c r="D122" s="3" t="s">
        <v>51</v>
      </c>
      <c r="E122" s="3" t="s">
        <v>34</v>
      </c>
      <c r="F122" s="3" t="s">
        <v>19</v>
      </c>
      <c r="G122" s="3" t="n">
        <v>333</v>
      </c>
      <c r="H122" s="4" t="n">
        <v>1384.58</v>
      </c>
      <c r="I122" s="4" t="n">
        <v>461065.14</v>
      </c>
      <c r="J122" s="4" t="n">
        <v>240604.423182926</v>
      </c>
      <c r="K122" s="4" t="n">
        <v>220460.716817074</v>
      </c>
      <c r="L122" s="5" t="n">
        <f aca="false">K122/I122</f>
        <v>0.478155248989489</v>
      </c>
      <c r="M122" s="4" t="n">
        <v>428615.466850709</v>
      </c>
      <c r="N122" s="5" t="n">
        <f aca="false">I122/M122</f>
        <v>1.0757081245521</v>
      </c>
    </row>
    <row r="123" customFormat="false" ht="15" hidden="false" customHeight="false" outlineLevel="0" collapsed="false">
      <c r="A123" s="6" t="s">
        <v>164</v>
      </c>
      <c r="B123" s="7" t="s">
        <v>163</v>
      </c>
      <c r="C123" s="7" t="s">
        <v>16</v>
      </c>
      <c r="D123" s="7" t="s">
        <v>28</v>
      </c>
      <c r="E123" s="7" t="s">
        <v>34</v>
      </c>
      <c r="F123" s="7" t="s">
        <v>23</v>
      </c>
      <c r="G123" s="7" t="n">
        <v>237</v>
      </c>
      <c r="H123" s="8" t="n">
        <v>374.41</v>
      </c>
      <c r="I123" s="8" t="n">
        <v>88735.17</v>
      </c>
      <c r="J123" s="8" t="n">
        <v>46574.1198849227</v>
      </c>
      <c r="K123" s="8" t="n">
        <v>42161.0501150773</v>
      </c>
      <c r="L123" s="9" t="n">
        <f aca="false">K123/I123</f>
        <v>0.475133479938984</v>
      </c>
      <c r="M123" s="8" t="n">
        <v>76323.918183714</v>
      </c>
      <c r="N123" s="9" t="n">
        <f aca="false">I123/M123</f>
        <v>1.1626128756442</v>
      </c>
    </row>
    <row r="124" customFormat="false" ht="15" hidden="false" customHeight="false" outlineLevel="0" collapsed="false">
      <c r="A124" s="2" t="s">
        <v>165</v>
      </c>
      <c r="B124" s="3" t="s">
        <v>163</v>
      </c>
      <c r="C124" s="3" t="s">
        <v>40</v>
      </c>
      <c r="D124" s="3" t="s">
        <v>17</v>
      </c>
      <c r="E124" s="3" t="s">
        <v>18</v>
      </c>
      <c r="F124" s="3" t="s">
        <v>30</v>
      </c>
      <c r="G124" s="3" t="n">
        <v>201</v>
      </c>
      <c r="H124" s="4" t="n">
        <v>889.84</v>
      </c>
      <c r="I124" s="4" t="n">
        <v>178857.84</v>
      </c>
      <c r="J124" s="4" t="n">
        <v>91405.1843134928</v>
      </c>
      <c r="K124" s="4" t="n">
        <v>87452.6556865072</v>
      </c>
      <c r="L124" s="5" t="n">
        <f aca="false">K124/I124</f>
        <v>0.488950641954008</v>
      </c>
      <c r="M124" s="4" t="n">
        <v>177823.704026498</v>
      </c>
      <c r="N124" s="5" t="n">
        <f aca="false">I124/M124</f>
        <v>1.00581551249966</v>
      </c>
    </row>
    <row r="125" customFormat="false" ht="15" hidden="false" customHeight="false" outlineLevel="0" collapsed="false">
      <c r="A125" s="6" t="s">
        <v>166</v>
      </c>
      <c r="B125" s="7" t="s">
        <v>163</v>
      </c>
      <c r="C125" s="7" t="s">
        <v>27</v>
      </c>
      <c r="D125" s="7" t="s">
        <v>25</v>
      </c>
      <c r="E125" s="7" t="s">
        <v>41</v>
      </c>
      <c r="F125" s="7" t="s">
        <v>23</v>
      </c>
      <c r="G125" s="7" t="n">
        <v>322</v>
      </c>
      <c r="H125" s="8" t="n">
        <v>1748.14</v>
      </c>
      <c r="I125" s="8" t="n">
        <v>562901.08</v>
      </c>
      <c r="J125" s="8" t="n">
        <v>340514.394934227</v>
      </c>
      <c r="K125" s="8" t="n">
        <v>222386.685065773</v>
      </c>
      <c r="L125" s="9" t="n">
        <f aca="false">K125/I125</f>
        <v>0.395072407865646</v>
      </c>
      <c r="M125" s="8" t="n">
        <v>525913.090476233</v>
      </c>
      <c r="N125" s="9" t="n">
        <f aca="false">I125/M125</f>
        <v>1.07033099231334</v>
      </c>
    </row>
    <row r="126" customFormat="false" ht="15" hidden="false" customHeight="false" outlineLevel="0" collapsed="false">
      <c r="A126" s="2" t="s">
        <v>167</v>
      </c>
      <c r="B126" s="3" t="s">
        <v>163</v>
      </c>
      <c r="C126" s="3" t="s">
        <v>21</v>
      </c>
      <c r="D126" s="3" t="s">
        <v>25</v>
      </c>
      <c r="E126" s="3" t="s">
        <v>59</v>
      </c>
      <c r="F126" s="3" t="s">
        <v>38</v>
      </c>
      <c r="G126" s="3" t="n">
        <v>336</v>
      </c>
      <c r="H126" s="4" t="n">
        <v>545.26</v>
      </c>
      <c r="I126" s="4" t="n">
        <v>183207.36</v>
      </c>
      <c r="J126" s="4" t="n">
        <v>94137.7450348323</v>
      </c>
      <c r="K126" s="4" t="n">
        <v>89069.6149651677</v>
      </c>
      <c r="L126" s="5" t="n">
        <f aca="false">K126/I126</f>
        <v>0.486168322960212</v>
      </c>
      <c r="M126" s="4" t="n">
        <v>156328.84351267</v>
      </c>
      <c r="N126" s="5" t="n">
        <f aca="false">I126/M126</f>
        <v>1.17193574700213</v>
      </c>
    </row>
    <row r="127" customFormat="false" ht="15" hidden="false" customHeight="false" outlineLevel="0" collapsed="false">
      <c r="A127" s="6" t="s">
        <v>168</v>
      </c>
      <c r="B127" s="7" t="s">
        <v>163</v>
      </c>
      <c r="C127" s="7" t="s">
        <v>32</v>
      </c>
      <c r="D127" s="7" t="s">
        <v>45</v>
      </c>
      <c r="E127" s="7" t="s">
        <v>41</v>
      </c>
      <c r="F127" s="7" t="s">
        <v>23</v>
      </c>
      <c r="G127" s="7" t="n">
        <v>236</v>
      </c>
      <c r="H127" s="8" t="n">
        <v>1893.21</v>
      </c>
      <c r="I127" s="8" t="n">
        <v>446797.56</v>
      </c>
      <c r="J127" s="8" t="n">
        <v>311378.993888369</v>
      </c>
      <c r="K127" s="8" t="n">
        <v>135418.566111631</v>
      </c>
      <c r="L127" s="9" t="n">
        <f aca="false">K127/I127</f>
        <v>0.303087076195382</v>
      </c>
      <c r="M127" s="8" t="n">
        <v>426559.412000247</v>
      </c>
      <c r="N127" s="9" t="n">
        <f aca="false">I127/M127</f>
        <v>1.04744508603116</v>
      </c>
    </row>
    <row r="128" customFormat="false" ht="15" hidden="false" customHeight="false" outlineLevel="0" collapsed="false">
      <c r="A128" s="2" t="s">
        <v>169</v>
      </c>
      <c r="B128" s="3" t="s">
        <v>163</v>
      </c>
      <c r="C128" s="3" t="s">
        <v>32</v>
      </c>
      <c r="D128" s="3" t="s">
        <v>45</v>
      </c>
      <c r="E128" s="3" t="s">
        <v>54</v>
      </c>
      <c r="F128" s="3" t="s">
        <v>30</v>
      </c>
      <c r="G128" s="3" t="n">
        <v>111</v>
      </c>
      <c r="H128" s="4" t="n">
        <v>1998.78</v>
      </c>
      <c r="I128" s="4" t="n">
        <v>221864.58</v>
      </c>
      <c r="J128" s="4" t="n">
        <v>147170.289283687</v>
      </c>
      <c r="K128" s="4" t="n">
        <v>74694.2907163126</v>
      </c>
      <c r="L128" s="5" t="n">
        <f aca="false">K128/I128</f>
        <v>0.336666135334954</v>
      </c>
      <c r="M128" s="4" t="n">
        <v>196866.796833801</v>
      </c>
      <c r="N128" s="5" t="n">
        <f aca="false">I128/M128</f>
        <v>1.12697815765907</v>
      </c>
    </row>
    <row r="129" customFormat="false" ht="15" hidden="false" customHeight="false" outlineLevel="0" collapsed="false">
      <c r="A129" s="6" t="s">
        <v>170</v>
      </c>
      <c r="B129" s="7" t="s">
        <v>163</v>
      </c>
      <c r="C129" s="7" t="s">
        <v>32</v>
      </c>
      <c r="D129" s="7" t="s">
        <v>51</v>
      </c>
      <c r="E129" s="7" t="s">
        <v>29</v>
      </c>
      <c r="F129" s="7" t="s">
        <v>30</v>
      </c>
      <c r="G129" s="7" t="n">
        <v>368</v>
      </c>
      <c r="H129" s="8" t="n">
        <v>625.7</v>
      </c>
      <c r="I129" s="8" t="n">
        <v>230257.6</v>
      </c>
      <c r="J129" s="8" t="n">
        <v>159910.707487976</v>
      </c>
      <c r="K129" s="8" t="n">
        <v>70346.8925120237</v>
      </c>
      <c r="L129" s="9" t="n">
        <f aca="false">K129/I129</f>
        <v>0.305513878855784</v>
      </c>
      <c r="M129" s="8" t="n">
        <v>248765.806182463</v>
      </c>
      <c r="N129" s="9" t="n">
        <f aca="false">I129/M129</f>
        <v>0.925599878590679</v>
      </c>
    </row>
    <row r="130" customFormat="false" ht="15" hidden="false" customHeight="false" outlineLevel="0" collapsed="false">
      <c r="A130" s="2" t="s">
        <v>171</v>
      </c>
      <c r="B130" s="3" t="s">
        <v>163</v>
      </c>
      <c r="C130" s="3" t="s">
        <v>40</v>
      </c>
      <c r="D130" s="3" t="s">
        <v>17</v>
      </c>
      <c r="E130" s="3" t="s">
        <v>36</v>
      </c>
      <c r="F130" s="3" t="s">
        <v>38</v>
      </c>
      <c r="G130" s="3" t="n">
        <v>436</v>
      </c>
      <c r="H130" s="4" t="n">
        <v>1813.1</v>
      </c>
      <c r="I130" s="4" t="n">
        <v>790511.6</v>
      </c>
      <c r="J130" s="4" t="n">
        <v>412290.169145163</v>
      </c>
      <c r="K130" s="4" t="n">
        <v>378221.430854838</v>
      </c>
      <c r="L130" s="5" t="n">
        <f aca="false">K130/I130</f>
        <v>0.478451462135201</v>
      </c>
      <c r="M130" s="4" t="n">
        <v>892962.72693685</v>
      </c>
      <c r="N130" s="5" t="n">
        <f aca="false">I130/M130</f>
        <v>0.88526830533197</v>
      </c>
    </row>
    <row r="131" customFormat="false" ht="15" hidden="false" customHeight="false" outlineLevel="0" collapsed="false">
      <c r="A131" s="6" t="s">
        <v>172</v>
      </c>
      <c r="B131" s="7" t="s">
        <v>163</v>
      </c>
      <c r="C131" s="7" t="s">
        <v>21</v>
      </c>
      <c r="D131" s="7" t="s">
        <v>45</v>
      </c>
      <c r="E131" s="7" t="s">
        <v>59</v>
      </c>
      <c r="F131" s="7" t="s">
        <v>19</v>
      </c>
      <c r="G131" s="7" t="n">
        <v>327</v>
      </c>
      <c r="H131" s="8" t="n">
        <v>538.72</v>
      </c>
      <c r="I131" s="8" t="n">
        <v>176161.44</v>
      </c>
      <c r="J131" s="8" t="n">
        <v>112548.54534542</v>
      </c>
      <c r="K131" s="8" t="n">
        <v>63612.89465458</v>
      </c>
      <c r="L131" s="9" t="n">
        <f aca="false">K131/I131</f>
        <v>0.361105669064581</v>
      </c>
      <c r="M131" s="8" t="n">
        <v>197056.788877563</v>
      </c>
      <c r="N131" s="9" t="n">
        <f aca="false">I131/M131</f>
        <v>0.893962806373824</v>
      </c>
    </row>
    <row r="132" customFormat="false" ht="15" hidden="false" customHeight="false" outlineLevel="0" collapsed="false">
      <c r="A132" s="2" t="s">
        <v>173</v>
      </c>
      <c r="B132" s="3" t="s">
        <v>163</v>
      </c>
      <c r="C132" s="3" t="s">
        <v>27</v>
      </c>
      <c r="D132" s="3" t="s">
        <v>17</v>
      </c>
      <c r="E132" s="3" t="s">
        <v>36</v>
      </c>
      <c r="F132" s="3" t="s">
        <v>30</v>
      </c>
      <c r="G132" s="3" t="n">
        <v>413</v>
      </c>
      <c r="H132" s="4" t="n">
        <v>909.61</v>
      </c>
      <c r="I132" s="4" t="n">
        <v>375668.93</v>
      </c>
      <c r="J132" s="4" t="n">
        <v>223482.986329694</v>
      </c>
      <c r="K132" s="4" t="n">
        <v>152185.943670306</v>
      </c>
      <c r="L132" s="5" t="n">
        <f aca="false">K132/I132</f>
        <v>0.405106548657899</v>
      </c>
      <c r="M132" s="4" t="n">
        <v>415612.274138874</v>
      </c>
      <c r="N132" s="5" t="n">
        <f aca="false">I132/M132</f>
        <v>0.903892770679995</v>
      </c>
    </row>
    <row r="133" customFormat="false" ht="15" hidden="false" customHeight="false" outlineLevel="0" collapsed="false">
      <c r="A133" s="6" t="s">
        <v>174</v>
      </c>
      <c r="B133" s="7" t="s">
        <v>163</v>
      </c>
      <c r="C133" s="7" t="s">
        <v>16</v>
      </c>
      <c r="D133" s="7" t="s">
        <v>45</v>
      </c>
      <c r="E133" s="7" t="s">
        <v>29</v>
      </c>
      <c r="F133" s="7" t="s">
        <v>38</v>
      </c>
      <c r="G133" s="7" t="n">
        <v>99</v>
      </c>
      <c r="H133" s="8" t="n">
        <v>441.55</v>
      </c>
      <c r="I133" s="8" t="n">
        <v>43713.45</v>
      </c>
      <c r="J133" s="8" t="n">
        <v>28266.3496098354</v>
      </c>
      <c r="K133" s="8" t="n">
        <v>15447.1003901647</v>
      </c>
      <c r="L133" s="9" t="n">
        <f aca="false">K133/I133</f>
        <v>0.353371797242374</v>
      </c>
      <c r="M133" s="8" t="n">
        <v>50566.0232648871</v>
      </c>
      <c r="N133" s="9" t="n">
        <f aca="false">I133/M133</f>
        <v>0.864482654113607</v>
      </c>
    </row>
    <row r="134" customFormat="false" ht="15" hidden="false" customHeight="false" outlineLevel="0" collapsed="false">
      <c r="A134" s="2" t="s">
        <v>175</v>
      </c>
      <c r="B134" s="3" t="s">
        <v>163</v>
      </c>
      <c r="C134" s="3" t="s">
        <v>40</v>
      </c>
      <c r="D134" s="3" t="s">
        <v>51</v>
      </c>
      <c r="E134" s="3" t="s">
        <v>18</v>
      </c>
      <c r="F134" s="3" t="s">
        <v>19</v>
      </c>
      <c r="G134" s="3" t="n">
        <v>141</v>
      </c>
      <c r="H134" s="4" t="n">
        <v>1832.4</v>
      </c>
      <c r="I134" s="4" t="n">
        <v>258368.4</v>
      </c>
      <c r="J134" s="4" t="n">
        <v>177252.853836132</v>
      </c>
      <c r="K134" s="4" t="n">
        <v>81115.5461638682</v>
      </c>
      <c r="L134" s="5" t="n">
        <f aca="false">K134/I134</f>
        <v>0.3139530459757</v>
      </c>
      <c r="M134" s="4" t="n">
        <v>307092.656580644</v>
      </c>
      <c r="N134" s="5" t="n">
        <f aca="false">I134/M134</f>
        <v>0.841336953077389</v>
      </c>
    </row>
    <row r="135" customFormat="false" ht="15" hidden="false" customHeight="false" outlineLevel="0" collapsed="false">
      <c r="A135" s="6" t="s">
        <v>176</v>
      </c>
      <c r="B135" s="7" t="s">
        <v>163</v>
      </c>
      <c r="C135" s="7" t="s">
        <v>40</v>
      </c>
      <c r="D135" s="7" t="s">
        <v>45</v>
      </c>
      <c r="E135" s="7" t="s">
        <v>34</v>
      </c>
      <c r="F135" s="7" t="s">
        <v>38</v>
      </c>
      <c r="G135" s="7" t="n">
        <v>48</v>
      </c>
      <c r="H135" s="8" t="n">
        <v>324.48</v>
      </c>
      <c r="I135" s="8" t="n">
        <v>15575.04</v>
      </c>
      <c r="J135" s="8" t="n">
        <v>10772.0878555977</v>
      </c>
      <c r="K135" s="8" t="n">
        <v>4802.95214440232</v>
      </c>
      <c r="L135" s="9" t="n">
        <f aca="false">K135/I135</f>
        <v>0.308374947634312</v>
      </c>
      <c r="M135" s="8" t="n">
        <v>17927.6374708131</v>
      </c>
      <c r="N135" s="9" t="n">
        <f aca="false">I135/M135</f>
        <v>0.868772587874828</v>
      </c>
    </row>
    <row r="136" customFormat="false" ht="15" hidden="false" customHeight="false" outlineLevel="0" collapsed="false">
      <c r="A136" s="2" t="s">
        <v>177</v>
      </c>
      <c r="B136" s="3" t="s">
        <v>163</v>
      </c>
      <c r="C136" s="3" t="s">
        <v>32</v>
      </c>
      <c r="D136" s="3" t="s">
        <v>51</v>
      </c>
      <c r="E136" s="3" t="s">
        <v>29</v>
      </c>
      <c r="F136" s="3" t="s">
        <v>23</v>
      </c>
      <c r="G136" s="3" t="n">
        <v>414</v>
      </c>
      <c r="H136" s="4" t="n">
        <v>819.42</v>
      </c>
      <c r="I136" s="4" t="n">
        <v>339239.88</v>
      </c>
      <c r="J136" s="4" t="n">
        <v>175086.670096312</v>
      </c>
      <c r="K136" s="4" t="n">
        <v>164153.209903688</v>
      </c>
      <c r="L136" s="5" t="n">
        <f aca="false">K136/I136</f>
        <v>0.483885355411894</v>
      </c>
      <c r="M136" s="4" t="n">
        <v>303028.07788015</v>
      </c>
      <c r="N136" s="5" t="n">
        <f aca="false">I136/M136</f>
        <v>1.11949982448218</v>
      </c>
    </row>
    <row r="137" customFormat="false" ht="15" hidden="false" customHeight="false" outlineLevel="0" collapsed="false">
      <c r="A137" s="6" t="s">
        <v>178</v>
      </c>
      <c r="B137" s="7" t="s">
        <v>163</v>
      </c>
      <c r="C137" s="7" t="s">
        <v>40</v>
      </c>
      <c r="D137" s="7" t="s">
        <v>45</v>
      </c>
      <c r="E137" s="7" t="s">
        <v>22</v>
      </c>
      <c r="F137" s="7" t="s">
        <v>30</v>
      </c>
      <c r="G137" s="7" t="n">
        <v>65</v>
      </c>
      <c r="H137" s="8" t="n">
        <v>1365.93</v>
      </c>
      <c r="I137" s="8" t="n">
        <v>88785.45</v>
      </c>
      <c r="J137" s="8" t="n">
        <v>50418.5239720807</v>
      </c>
      <c r="K137" s="8" t="n">
        <v>38366.9260279194</v>
      </c>
      <c r="L137" s="9" t="n">
        <f aca="false">K137/I137</f>
        <v>0.43213078300464</v>
      </c>
      <c r="M137" s="8" t="n">
        <v>94719.9940853236</v>
      </c>
      <c r="N137" s="9" t="n">
        <f aca="false">I137/M137</f>
        <v>0.937346447889579</v>
      </c>
    </row>
    <row r="138" customFormat="false" ht="15" hidden="false" customHeight="false" outlineLevel="0" collapsed="false">
      <c r="A138" s="2" t="s">
        <v>179</v>
      </c>
      <c r="B138" s="3" t="s">
        <v>163</v>
      </c>
      <c r="C138" s="3" t="s">
        <v>21</v>
      </c>
      <c r="D138" s="3" t="s">
        <v>45</v>
      </c>
      <c r="E138" s="3" t="s">
        <v>59</v>
      </c>
      <c r="F138" s="3" t="s">
        <v>23</v>
      </c>
      <c r="G138" s="3" t="n">
        <v>335</v>
      </c>
      <c r="H138" s="4" t="n">
        <v>1656.52</v>
      </c>
      <c r="I138" s="4" t="n">
        <v>554934.2</v>
      </c>
      <c r="J138" s="4" t="n">
        <v>375882.965405218</v>
      </c>
      <c r="K138" s="4" t="n">
        <v>179051.234594782</v>
      </c>
      <c r="L138" s="5" t="n">
        <f aca="false">K138/I138</f>
        <v>0.322653090393027</v>
      </c>
      <c r="M138" s="4" t="n">
        <v>530387.551962587</v>
      </c>
      <c r="N138" s="5" t="n">
        <f aca="false">I138/M138</f>
        <v>1.04628058849908</v>
      </c>
    </row>
    <row r="139" customFormat="false" ht="15" hidden="false" customHeight="false" outlineLevel="0" collapsed="false">
      <c r="A139" s="6" t="s">
        <v>180</v>
      </c>
      <c r="B139" s="7" t="s">
        <v>163</v>
      </c>
      <c r="C139" s="7" t="s">
        <v>32</v>
      </c>
      <c r="D139" s="7" t="s">
        <v>17</v>
      </c>
      <c r="E139" s="7" t="s">
        <v>41</v>
      </c>
      <c r="F139" s="7" t="s">
        <v>23</v>
      </c>
      <c r="G139" s="7" t="n">
        <v>494</v>
      </c>
      <c r="H139" s="8" t="n">
        <v>122.56</v>
      </c>
      <c r="I139" s="8" t="n">
        <v>60544.64</v>
      </c>
      <c r="J139" s="8" t="n">
        <v>42319.6040926721</v>
      </c>
      <c r="K139" s="8" t="n">
        <v>18225.0359073279</v>
      </c>
      <c r="L139" s="9" t="n">
        <f aca="false">K139/I139</f>
        <v>0.301018156311243</v>
      </c>
      <c r="M139" s="8" t="n">
        <v>53923.609445745</v>
      </c>
      <c r="N139" s="9" t="n">
        <f aca="false">I139/M139</f>
        <v>1.12278537401909</v>
      </c>
    </row>
    <row r="140" customFormat="false" ht="15" hidden="false" customHeight="false" outlineLevel="0" collapsed="false">
      <c r="A140" s="2" t="s">
        <v>181</v>
      </c>
      <c r="B140" s="3" t="s">
        <v>163</v>
      </c>
      <c r="C140" s="3" t="s">
        <v>27</v>
      </c>
      <c r="D140" s="3" t="s">
        <v>51</v>
      </c>
      <c r="E140" s="3" t="s">
        <v>41</v>
      </c>
      <c r="F140" s="3" t="s">
        <v>38</v>
      </c>
      <c r="G140" s="3" t="n">
        <v>242</v>
      </c>
      <c r="H140" s="4" t="n">
        <v>773.47</v>
      </c>
      <c r="I140" s="4" t="n">
        <v>187179.74</v>
      </c>
      <c r="J140" s="4" t="n">
        <v>128657.094348085</v>
      </c>
      <c r="K140" s="4" t="n">
        <v>58522.6456519149</v>
      </c>
      <c r="L140" s="5" t="n">
        <f aca="false">K140/I140</f>
        <v>0.312654807897024</v>
      </c>
      <c r="M140" s="4" t="n">
        <v>204731.471364113</v>
      </c>
      <c r="N140" s="5" t="n">
        <f aca="false">I140/M140</f>
        <v>0.914269500203526</v>
      </c>
    </row>
    <row r="141" customFormat="false" ht="15" hidden="false" customHeight="false" outlineLevel="0" collapsed="false">
      <c r="A141" s="6" t="s">
        <v>182</v>
      </c>
      <c r="B141" s="7" t="s">
        <v>163</v>
      </c>
      <c r="C141" s="7" t="s">
        <v>21</v>
      </c>
      <c r="D141" s="7" t="s">
        <v>28</v>
      </c>
      <c r="E141" s="7" t="s">
        <v>41</v>
      </c>
      <c r="F141" s="7" t="s">
        <v>38</v>
      </c>
      <c r="G141" s="7" t="n">
        <v>345</v>
      </c>
      <c r="H141" s="8" t="n">
        <v>243.09</v>
      </c>
      <c r="I141" s="8" t="n">
        <v>83866.05</v>
      </c>
      <c r="J141" s="8" t="n">
        <v>47999.6232846539</v>
      </c>
      <c r="K141" s="8" t="n">
        <v>35866.4267153461</v>
      </c>
      <c r="L141" s="9" t="n">
        <f aca="false">K141/I141</f>
        <v>0.427663240552596</v>
      </c>
      <c r="M141" s="8" t="n">
        <v>83265.6160465012</v>
      </c>
      <c r="N141" s="9" t="n">
        <f aca="false">I141/M141</f>
        <v>1.00721106720886</v>
      </c>
    </row>
    <row r="142" customFormat="false" ht="15" hidden="false" customHeight="false" outlineLevel="0" collapsed="false">
      <c r="A142" s="2" t="s">
        <v>183</v>
      </c>
      <c r="B142" s="3" t="s">
        <v>184</v>
      </c>
      <c r="C142" s="3" t="s">
        <v>40</v>
      </c>
      <c r="D142" s="3" t="s">
        <v>17</v>
      </c>
      <c r="E142" s="3" t="s">
        <v>29</v>
      </c>
      <c r="F142" s="3" t="s">
        <v>19</v>
      </c>
      <c r="G142" s="3" t="n">
        <v>237</v>
      </c>
      <c r="H142" s="4" t="n">
        <v>917.16</v>
      </c>
      <c r="I142" s="4" t="n">
        <v>217366.92</v>
      </c>
      <c r="J142" s="4" t="n">
        <v>110645.883236336</v>
      </c>
      <c r="K142" s="4" t="n">
        <v>106721.036763664</v>
      </c>
      <c r="L142" s="5" t="n">
        <f aca="false">K142/I142</f>
        <v>0.490971840442251</v>
      </c>
      <c r="M142" s="4" t="n">
        <v>212354.463510103</v>
      </c>
      <c r="N142" s="5" t="n">
        <f aca="false">I142/M142</f>
        <v>1.02360419652615</v>
      </c>
    </row>
    <row r="143" customFormat="false" ht="15" hidden="false" customHeight="false" outlineLevel="0" collapsed="false">
      <c r="A143" s="6" t="s">
        <v>185</v>
      </c>
      <c r="B143" s="7" t="s">
        <v>184</v>
      </c>
      <c r="C143" s="7" t="s">
        <v>40</v>
      </c>
      <c r="D143" s="7" t="s">
        <v>51</v>
      </c>
      <c r="E143" s="7" t="s">
        <v>29</v>
      </c>
      <c r="F143" s="7" t="s">
        <v>23</v>
      </c>
      <c r="G143" s="7" t="n">
        <v>213</v>
      </c>
      <c r="H143" s="8" t="n">
        <v>587.97</v>
      </c>
      <c r="I143" s="8" t="n">
        <v>125237.61</v>
      </c>
      <c r="J143" s="8" t="n">
        <v>86670.9032819599</v>
      </c>
      <c r="K143" s="8" t="n">
        <v>38566.7067180401</v>
      </c>
      <c r="L143" s="9" t="n">
        <f aca="false">K143/I143</f>
        <v>0.307948281015903</v>
      </c>
      <c r="M143" s="8" t="n">
        <v>148050.113545158</v>
      </c>
      <c r="N143" s="9" t="n">
        <f aca="false">I143/M143</f>
        <v>0.845913636951045</v>
      </c>
    </row>
    <row r="144" customFormat="false" ht="15" hidden="false" customHeight="false" outlineLevel="0" collapsed="false">
      <c r="A144" s="2" t="s">
        <v>186</v>
      </c>
      <c r="B144" s="3" t="s">
        <v>184</v>
      </c>
      <c r="C144" s="3" t="s">
        <v>32</v>
      </c>
      <c r="D144" s="3" t="s">
        <v>17</v>
      </c>
      <c r="E144" s="3" t="s">
        <v>59</v>
      </c>
      <c r="F144" s="3" t="s">
        <v>23</v>
      </c>
      <c r="G144" s="3" t="n">
        <v>35</v>
      </c>
      <c r="H144" s="4" t="n">
        <v>1584.25</v>
      </c>
      <c r="I144" s="4" t="n">
        <v>55448.75</v>
      </c>
      <c r="J144" s="4" t="n">
        <v>28328.3352216559</v>
      </c>
      <c r="K144" s="4" t="n">
        <v>27120.4147783441</v>
      </c>
      <c r="L144" s="5" t="n">
        <f aca="false">K144/I144</f>
        <v>0.489107775708994</v>
      </c>
      <c r="M144" s="4" t="n">
        <v>49575.250212416</v>
      </c>
      <c r="N144" s="5" t="n">
        <f aca="false">I144/M144</f>
        <v>1.11847645271416</v>
      </c>
    </row>
    <row r="145" customFormat="false" ht="15" hidden="false" customHeight="false" outlineLevel="0" collapsed="false">
      <c r="A145" s="6" t="s">
        <v>187</v>
      </c>
      <c r="B145" s="7" t="s">
        <v>184</v>
      </c>
      <c r="C145" s="7" t="s">
        <v>21</v>
      </c>
      <c r="D145" s="7" t="s">
        <v>25</v>
      </c>
      <c r="E145" s="7" t="s">
        <v>34</v>
      </c>
      <c r="F145" s="7" t="s">
        <v>19</v>
      </c>
      <c r="G145" s="7" t="n">
        <v>310</v>
      </c>
      <c r="H145" s="8" t="n">
        <v>471.11</v>
      </c>
      <c r="I145" s="8" t="n">
        <v>146044.1</v>
      </c>
      <c r="J145" s="8" t="n">
        <v>97473.3164691685</v>
      </c>
      <c r="K145" s="8" t="n">
        <v>48570.7835308315</v>
      </c>
      <c r="L145" s="9" t="n">
        <f aca="false">K145/I145</f>
        <v>0.332576143307614</v>
      </c>
      <c r="M145" s="8" t="n">
        <v>140931.949497094</v>
      </c>
      <c r="N145" s="9" t="n">
        <f aca="false">I145/M145</f>
        <v>1.03627389333042</v>
      </c>
    </row>
    <row r="146" customFormat="false" ht="15" hidden="false" customHeight="false" outlineLevel="0" collapsed="false">
      <c r="A146" s="2" t="s">
        <v>188</v>
      </c>
      <c r="B146" s="3" t="s">
        <v>184</v>
      </c>
      <c r="C146" s="3" t="s">
        <v>27</v>
      </c>
      <c r="D146" s="3" t="s">
        <v>51</v>
      </c>
      <c r="E146" s="3" t="s">
        <v>36</v>
      </c>
      <c r="F146" s="3" t="s">
        <v>30</v>
      </c>
      <c r="G146" s="3" t="n">
        <v>449</v>
      </c>
      <c r="H146" s="4" t="n">
        <v>1968.85</v>
      </c>
      <c r="I146" s="4" t="n">
        <v>884013.65</v>
      </c>
      <c r="J146" s="4" t="n">
        <v>616053.04670185</v>
      </c>
      <c r="K146" s="4" t="n">
        <v>267960.60329815</v>
      </c>
      <c r="L146" s="5" t="n">
        <f aca="false">K146/I146</f>
        <v>0.303118173908457</v>
      </c>
      <c r="M146" s="4" t="n">
        <v>918556.845732804</v>
      </c>
      <c r="N146" s="5" t="n">
        <f aca="false">I146/M146</f>
        <v>0.962394057707723</v>
      </c>
    </row>
    <row r="147" customFormat="false" ht="15" hidden="false" customHeight="false" outlineLevel="0" collapsed="false">
      <c r="A147" s="6" t="s">
        <v>189</v>
      </c>
      <c r="B147" s="7" t="s">
        <v>184</v>
      </c>
      <c r="C147" s="7" t="s">
        <v>27</v>
      </c>
      <c r="D147" s="7" t="s">
        <v>17</v>
      </c>
      <c r="E147" s="7" t="s">
        <v>36</v>
      </c>
      <c r="F147" s="7" t="s">
        <v>19</v>
      </c>
      <c r="G147" s="7" t="n">
        <v>17</v>
      </c>
      <c r="H147" s="8" t="n">
        <v>748.57</v>
      </c>
      <c r="I147" s="8" t="n">
        <v>12725.69</v>
      </c>
      <c r="J147" s="8" t="n">
        <v>8234.89432342058</v>
      </c>
      <c r="K147" s="8" t="n">
        <v>4490.79567657942</v>
      </c>
      <c r="L147" s="9" t="n">
        <f aca="false">K147/I147</f>
        <v>0.352892116386571</v>
      </c>
      <c r="M147" s="8" t="n">
        <v>13439.5824095628</v>
      </c>
      <c r="N147" s="9" t="n">
        <f aca="false">I147/M147</f>
        <v>0.946881354806466</v>
      </c>
    </row>
    <row r="148" customFormat="false" ht="15" hidden="false" customHeight="false" outlineLevel="0" collapsed="false">
      <c r="A148" s="2" t="s">
        <v>190</v>
      </c>
      <c r="B148" s="3" t="s">
        <v>184</v>
      </c>
      <c r="C148" s="3" t="s">
        <v>16</v>
      </c>
      <c r="D148" s="3" t="s">
        <v>25</v>
      </c>
      <c r="E148" s="3" t="s">
        <v>18</v>
      </c>
      <c r="F148" s="3" t="s">
        <v>23</v>
      </c>
      <c r="G148" s="3" t="n">
        <v>74</v>
      </c>
      <c r="H148" s="4" t="n">
        <v>1496.35</v>
      </c>
      <c r="I148" s="4" t="n">
        <v>110729.9</v>
      </c>
      <c r="J148" s="4" t="n">
        <v>64391.8044379073</v>
      </c>
      <c r="K148" s="4" t="n">
        <v>46338.0955620927</v>
      </c>
      <c r="L148" s="5" t="n">
        <f aca="false">K148/I148</f>
        <v>0.418478618350533</v>
      </c>
      <c r="M148" s="4" t="n">
        <v>123019.019468295</v>
      </c>
      <c r="N148" s="5" t="n">
        <f aca="false">I148/M148</f>
        <v>0.900103906522661</v>
      </c>
    </row>
    <row r="149" customFormat="false" ht="15" hidden="false" customHeight="false" outlineLevel="0" collapsed="false">
      <c r="A149" s="6" t="s">
        <v>191</v>
      </c>
      <c r="B149" s="7" t="s">
        <v>184</v>
      </c>
      <c r="C149" s="7" t="s">
        <v>32</v>
      </c>
      <c r="D149" s="7" t="s">
        <v>28</v>
      </c>
      <c r="E149" s="7" t="s">
        <v>29</v>
      </c>
      <c r="F149" s="7" t="s">
        <v>23</v>
      </c>
      <c r="G149" s="7" t="n">
        <v>241</v>
      </c>
      <c r="H149" s="8" t="n">
        <v>1032.49</v>
      </c>
      <c r="I149" s="8" t="n">
        <v>248830.09</v>
      </c>
      <c r="J149" s="8" t="n">
        <v>170785.505381915</v>
      </c>
      <c r="K149" s="8" t="n">
        <v>78044.5846180852</v>
      </c>
      <c r="L149" s="9" t="n">
        <f aca="false">K149/I149</f>
        <v>0.313646089257473</v>
      </c>
      <c r="M149" s="8" t="n">
        <v>215282.260612066</v>
      </c>
      <c r="N149" s="9" t="n">
        <f aca="false">I149/M149</f>
        <v>1.15583183348482</v>
      </c>
    </row>
    <row r="150" customFormat="false" ht="15" hidden="false" customHeight="false" outlineLevel="0" collapsed="false">
      <c r="A150" s="2" t="s">
        <v>192</v>
      </c>
      <c r="B150" s="3" t="s">
        <v>184</v>
      </c>
      <c r="C150" s="3" t="s">
        <v>21</v>
      </c>
      <c r="D150" s="3" t="s">
        <v>45</v>
      </c>
      <c r="E150" s="3" t="s">
        <v>54</v>
      </c>
      <c r="F150" s="3" t="s">
        <v>23</v>
      </c>
      <c r="G150" s="3" t="n">
        <v>41</v>
      </c>
      <c r="H150" s="4" t="n">
        <v>1997.24</v>
      </c>
      <c r="I150" s="4" t="n">
        <v>81886.84</v>
      </c>
      <c r="J150" s="4" t="n">
        <v>54194.7280591423</v>
      </c>
      <c r="K150" s="4" t="n">
        <v>27692.1119408577</v>
      </c>
      <c r="L150" s="5" t="n">
        <f aca="false">K150/I150</f>
        <v>0.338175364208189</v>
      </c>
      <c r="M150" s="4" t="n">
        <v>81820.9838803706</v>
      </c>
      <c r="N150" s="5" t="n">
        <f aca="false">I150/M150</f>
        <v>1.00080488056372</v>
      </c>
    </row>
    <row r="151" customFormat="false" ht="15" hidden="false" customHeight="false" outlineLevel="0" collapsed="false">
      <c r="A151" s="6" t="s">
        <v>193</v>
      </c>
      <c r="B151" s="7" t="s">
        <v>184</v>
      </c>
      <c r="C151" s="7" t="s">
        <v>16</v>
      </c>
      <c r="D151" s="7" t="s">
        <v>28</v>
      </c>
      <c r="E151" s="7" t="s">
        <v>54</v>
      </c>
      <c r="F151" s="7" t="s">
        <v>23</v>
      </c>
      <c r="G151" s="7" t="n">
        <v>470</v>
      </c>
      <c r="H151" s="8" t="n">
        <v>207.54</v>
      </c>
      <c r="I151" s="8" t="n">
        <v>97543.8</v>
      </c>
      <c r="J151" s="8" t="n">
        <v>58728.6205578539</v>
      </c>
      <c r="K151" s="8" t="n">
        <v>38815.1794421461</v>
      </c>
      <c r="L151" s="9" t="n">
        <f aca="false">K151/I151</f>
        <v>0.39792564409164</v>
      </c>
      <c r="M151" s="8" t="n">
        <v>85154.6431206857</v>
      </c>
      <c r="N151" s="9" t="n">
        <f aca="false">I151/M151</f>
        <v>1.14549009220502</v>
      </c>
    </row>
    <row r="152" customFormat="false" ht="15" hidden="false" customHeight="false" outlineLevel="0" collapsed="false">
      <c r="A152" s="2" t="s">
        <v>194</v>
      </c>
      <c r="B152" s="3" t="s">
        <v>184</v>
      </c>
      <c r="C152" s="3" t="s">
        <v>40</v>
      </c>
      <c r="D152" s="3" t="s">
        <v>51</v>
      </c>
      <c r="E152" s="3" t="s">
        <v>29</v>
      </c>
      <c r="F152" s="3" t="s">
        <v>38</v>
      </c>
      <c r="G152" s="3" t="n">
        <v>315</v>
      </c>
      <c r="H152" s="4" t="n">
        <v>1084.59</v>
      </c>
      <c r="I152" s="4" t="n">
        <v>341645.85</v>
      </c>
      <c r="J152" s="4" t="n">
        <v>192493.129873919</v>
      </c>
      <c r="K152" s="4" t="n">
        <v>149152.720126081</v>
      </c>
      <c r="L152" s="5" t="n">
        <f aca="false">K152/I152</f>
        <v>0.436571145606132</v>
      </c>
      <c r="M152" s="4" t="n">
        <v>362793.515282399</v>
      </c>
      <c r="N152" s="5" t="n">
        <f aca="false">I152/M152</f>
        <v>0.941708811234022</v>
      </c>
    </row>
    <row r="153" customFormat="false" ht="15" hidden="false" customHeight="false" outlineLevel="0" collapsed="false">
      <c r="A153" s="6" t="s">
        <v>195</v>
      </c>
      <c r="B153" s="7" t="s">
        <v>184</v>
      </c>
      <c r="C153" s="7" t="s">
        <v>16</v>
      </c>
      <c r="D153" s="7" t="s">
        <v>17</v>
      </c>
      <c r="E153" s="7" t="s">
        <v>59</v>
      </c>
      <c r="F153" s="7" t="s">
        <v>38</v>
      </c>
      <c r="G153" s="7" t="n">
        <v>241</v>
      </c>
      <c r="H153" s="8" t="n">
        <v>1781.78</v>
      </c>
      <c r="I153" s="8" t="n">
        <v>429408.98</v>
      </c>
      <c r="J153" s="8" t="n">
        <v>237657.856877309</v>
      </c>
      <c r="K153" s="8" t="n">
        <v>191751.123122691</v>
      </c>
      <c r="L153" s="9" t="n">
        <f aca="false">K153/I153</f>
        <v>0.446546607205772</v>
      </c>
      <c r="M153" s="8" t="n">
        <v>489353.068870816</v>
      </c>
      <c r="N153" s="9" t="n">
        <f aca="false">I153/M153</f>
        <v>0.87750339645537</v>
      </c>
    </row>
    <row r="154" customFormat="false" ht="15" hidden="false" customHeight="false" outlineLevel="0" collapsed="false">
      <c r="A154" s="2" t="s">
        <v>196</v>
      </c>
      <c r="B154" s="3" t="s">
        <v>184</v>
      </c>
      <c r="C154" s="3" t="s">
        <v>32</v>
      </c>
      <c r="D154" s="3" t="s">
        <v>28</v>
      </c>
      <c r="E154" s="3" t="s">
        <v>34</v>
      </c>
      <c r="F154" s="3" t="s">
        <v>30</v>
      </c>
      <c r="G154" s="3" t="n">
        <v>228</v>
      </c>
      <c r="H154" s="4" t="n">
        <v>659.42</v>
      </c>
      <c r="I154" s="4" t="n">
        <v>150347.76</v>
      </c>
      <c r="J154" s="4" t="n">
        <v>77237.0194870104</v>
      </c>
      <c r="K154" s="4" t="n">
        <v>73110.7405129896</v>
      </c>
      <c r="L154" s="5" t="n">
        <f aca="false">K154/I154</f>
        <v>0.486277550879305</v>
      </c>
      <c r="M154" s="4" t="n">
        <v>177975.270641879</v>
      </c>
      <c r="N154" s="5" t="n">
        <f aca="false">I154/M154</f>
        <v>0.844767699792009</v>
      </c>
    </row>
    <row r="155" customFormat="false" ht="15" hidden="false" customHeight="false" outlineLevel="0" collapsed="false">
      <c r="A155" s="6" t="s">
        <v>197</v>
      </c>
      <c r="B155" s="7" t="s">
        <v>184</v>
      </c>
      <c r="C155" s="7" t="s">
        <v>32</v>
      </c>
      <c r="D155" s="7" t="s">
        <v>17</v>
      </c>
      <c r="E155" s="7" t="s">
        <v>34</v>
      </c>
      <c r="F155" s="7" t="s">
        <v>23</v>
      </c>
      <c r="G155" s="7" t="n">
        <v>57</v>
      </c>
      <c r="H155" s="8" t="n">
        <v>892.16</v>
      </c>
      <c r="I155" s="8" t="n">
        <v>50853.12</v>
      </c>
      <c r="J155" s="8" t="n">
        <v>32350.0720502477</v>
      </c>
      <c r="K155" s="8" t="n">
        <v>18503.0479497523</v>
      </c>
      <c r="L155" s="9" t="n">
        <f aca="false">K155/I155</f>
        <v>0.36385275770203</v>
      </c>
      <c r="M155" s="8" t="n">
        <v>49857.7414101131</v>
      </c>
      <c r="N155" s="9" t="n">
        <f aca="false">I155/M155</f>
        <v>1.01996437387124</v>
      </c>
    </row>
    <row r="156" customFormat="false" ht="15" hidden="false" customHeight="false" outlineLevel="0" collapsed="false">
      <c r="A156" s="2" t="s">
        <v>198</v>
      </c>
      <c r="B156" s="3" t="s">
        <v>184</v>
      </c>
      <c r="C156" s="3" t="s">
        <v>27</v>
      </c>
      <c r="D156" s="3" t="s">
        <v>51</v>
      </c>
      <c r="E156" s="3" t="s">
        <v>36</v>
      </c>
      <c r="F156" s="3" t="s">
        <v>30</v>
      </c>
      <c r="G156" s="3" t="n">
        <v>353</v>
      </c>
      <c r="H156" s="4" t="n">
        <v>288.35</v>
      </c>
      <c r="I156" s="4" t="n">
        <v>101787.55</v>
      </c>
      <c r="J156" s="4" t="n">
        <v>54802.3680526565</v>
      </c>
      <c r="K156" s="4" t="n">
        <v>46985.1819473435</v>
      </c>
      <c r="L156" s="5" t="n">
        <f aca="false">K156/I156</f>
        <v>0.461600480091558</v>
      </c>
      <c r="M156" s="4" t="n">
        <v>110222.601006388</v>
      </c>
      <c r="N156" s="5" t="n">
        <f aca="false">I156/M156</f>
        <v>0.923472582488784</v>
      </c>
    </row>
    <row r="157" customFormat="false" ht="15" hidden="false" customHeight="false" outlineLevel="0" collapsed="false">
      <c r="A157" s="6" t="s">
        <v>199</v>
      </c>
      <c r="B157" s="7" t="s">
        <v>184</v>
      </c>
      <c r="C157" s="7" t="s">
        <v>32</v>
      </c>
      <c r="D157" s="7" t="s">
        <v>17</v>
      </c>
      <c r="E157" s="7" t="s">
        <v>18</v>
      </c>
      <c r="F157" s="7" t="s">
        <v>30</v>
      </c>
      <c r="G157" s="7" t="n">
        <v>190</v>
      </c>
      <c r="H157" s="8" t="n">
        <v>252.02</v>
      </c>
      <c r="I157" s="8" t="n">
        <v>47883.8</v>
      </c>
      <c r="J157" s="8" t="n">
        <v>27621.9202291266</v>
      </c>
      <c r="K157" s="8" t="n">
        <v>20261.8797708734</v>
      </c>
      <c r="L157" s="9" t="n">
        <f aca="false">K157/I157</f>
        <v>0.423146863257999</v>
      </c>
      <c r="M157" s="8" t="n">
        <v>43294.4040781666</v>
      </c>
      <c r="N157" s="9" t="n">
        <f aca="false">I157/M157</f>
        <v>1.10600436752859</v>
      </c>
    </row>
    <row r="158" customFormat="false" ht="15" hidden="false" customHeight="false" outlineLevel="0" collapsed="false">
      <c r="A158" s="2" t="s">
        <v>200</v>
      </c>
      <c r="B158" s="3" t="s">
        <v>184</v>
      </c>
      <c r="C158" s="3" t="s">
        <v>32</v>
      </c>
      <c r="D158" s="3" t="s">
        <v>25</v>
      </c>
      <c r="E158" s="3" t="s">
        <v>34</v>
      </c>
      <c r="F158" s="3" t="s">
        <v>30</v>
      </c>
      <c r="G158" s="3" t="n">
        <v>442</v>
      </c>
      <c r="H158" s="4" t="n">
        <v>1134.72</v>
      </c>
      <c r="I158" s="4" t="n">
        <v>501546.24</v>
      </c>
      <c r="J158" s="4" t="n">
        <v>240100.882258087</v>
      </c>
      <c r="K158" s="4" t="n">
        <v>261445.357741913</v>
      </c>
      <c r="L158" s="5" t="n">
        <f aca="false">K158/I158</f>
        <v>0.521278671617423</v>
      </c>
      <c r="M158" s="4" t="n">
        <v>475214.497846136</v>
      </c>
      <c r="N158" s="5" t="n">
        <f aca="false">I158/M158</f>
        <v>1.05541022479998</v>
      </c>
    </row>
    <row r="159" customFormat="false" ht="15" hidden="false" customHeight="false" outlineLevel="0" collapsed="false">
      <c r="A159" s="6" t="s">
        <v>201</v>
      </c>
      <c r="B159" s="7" t="s">
        <v>184</v>
      </c>
      <c r="C159" s="7" t="s">
        <v>27</v>
      </c>
      <c r="D159" s="7" t="s">
        <v>28</v>
      </c>
      <c r="E159" s="7" t="s">
        <v>36</v>
      </c>
      <c r="F159" s="7" t="s">
        <v>30</v>
      </c>
      <c r="G159" s="7" t="n">
        <v>24</v>
      </c>
      <c r="H159" s="8" t="n">
        <v>401.81</v>
      </c>
      <c r="I159" s="8" t="n">
        <v>9643.44</v>
      </c>
      <c r="J159" s="8" t="n">
        <v>6033.65636355077</v>
      </c>
      <c r="K159" s="8" t="n">
        <v>3609.78363644923</v>
      </c>
      <c r="L159" s="9" t="n">
        <f aca="false">K159/I159</f>
        <v>0.374325306783599</v>
      </c>
      <c r="M159" s="8" t="n">
        <v>9239.81035767747</v>
      </c>
      <c r="N159" s="9" t="n">
        <f aca="false">I159/M159</f>
        <v>1.04368375829133</v>
      </c>
    </row>
    <row r="160" customFormat="false" ht="15" hidden="false" customHeight="false" outlineLevel="0" collapsed="false">
      <c r="A160" s="2" t="s">
        <v>202</v>
      </c>
      <c r="B160" s="3" t="s">
        <v>184</v>
      </c>
      <c r="C160" s="3" t="s">
        <v>40</v>
      </c>
      <c r="D160" s="3" t="s">
        <v>45</v>
      </c>
      <c r="E160" s="3" t="s">
        <v>36</v>
      </c>
      <c r="F160" s="3" t="s">
        <v>19</v>
      </c>
      <c r="G160" s="3" t="n">
        <v>455</v>
      </c>
      <c r="H160" s="4" t="n">
        <v>329.34</v>
      </c>
      <c r="I160" s="4" t="n">
        <v>149849.7</v>
      </c>
      <c r="J160" s="4" t="n">
        <v>92058.0890817258</v>
      </c>
      <c r="K160" s="4" t="n">
        <v>57791.6109182742</v>
      </c>
      <c r="L160" s="5" t="n">
        <f aca="false">K160/I160</f>
        <v>0.385663841290801</v>
      </c>
      <c r="M160" s="4" t="n">
        <v>131021.819074453</v>
      </c>
      <c r="N160" s="5" t="n">
        <f aca="false">I160/M160</f>
        <v>1.14370034745776</v>
      </c>
    </row>
    <row r="161" customFormat="false" ht="15" hidden="false" customHeight="false" outlineLevel="0" collapsed="false">
      <c r="A161" s="6" t="s">
        <v>203</v>
      </c>
      <c r="B161" s="7" t="s">
        <v>184</v>
      </c>
      <c r="C161" s="7" t="s">
        <v>16</v>
      </c>
      <c r="D161" s="7" t="s">
        <v>17</v>
      </c>
      <c r="E161" s="7" t="s">
        <v>59</v>
      </c>
      <c r="F161" s="7" t="s">
        <v>38</v>
      </c>
      <c r="G161" s="7" t="n">
        <v>224</v>
      </c>
      <c r="H161" s="8" t="n">
        <v>934.61</v>
      </c>
      <c r="I161" s="8" t="n">
        <v>209352.64</v>
      </c>
      <c r="J161" s="8" t="n">
        <v>102447.199864664</v>
      </c>
      <c r="K161" s="8" t="n">
        <v>106905.440135336</v>
      </c>
      <c r="L161" s="9" t="n">
        <f aca="false">K161/I161</f>
        <v>0.510647681038728</v>
      </c>
      <c r="M161" s="8" t="n">
        <v>200784.481124582</v>
      </c>
      <c r="N161" s="9" t="n">
        <f aca="false">I161/M161</f>
        <v>1.04267341194613</v>
      </c>
    </row>
    <row r="162" customFormat="false" ht="15" hidden="false" customHeight="false" outlineLevel="0" collapsed="false">
      <c r="A162" s="2" t="s">
        <v>204</v>
      </c>
      <c r="B162" s="3" t="s">
        <v>205</v>
      </c>
      <c r="C162" s="3" t="s">
        <v>40</v>
      </c>
      <c r="D162" s="3" t="s">
        <v>51</v>
      </c>
      <c r="E162" s="3" t="s">
        <v>34</v>
      </c>
      <c r="F162" s="3" t="s">
        <v>23</v>
      </c>
      <c r="G162" s="3" t="n">
        <v>89</v>
      </c>
      <c r="H162" s="4" t="n">
        <v>356.95</v>
      </c>
      <c r="I162" s="4" t="n">
        <v>31768.55</v>
      </c>
      <c r="J162" s="4" t="n">
        <v>19202.8032936066</v>
      </c>
      <c r="K162" s="4" t="n">
        <v>12565.7467063935</v>
      </c>
      <c r="L162" s="5" t="n">
        <f aca="false">K162/I162</f>
        <v>0.395540454518492</v>
      </c>
      <c r="M162" s="4" t="n">
        <v>34497.1205385419</v>
      </c>
      <c r="N162" s="5" t="n">
        <f aca="false">I162/M162</f>
        <v>0.920904397354168</v>
      </c>
    </row>
    <row r="163" customFormat="false" ht="15" hidden="false" customHeight="false" outlineLevel="0" collapsed="false">
      <c r="A163" s="6" t="s">
        <v>206</v>
      </c>
      <c r="B163" s="7" t="s">
        <v>205</v>
      </c>
      <c r="C163" s="7" t="s">
        <v>40</v>
      </c>
      <c r="D163" s="7" t="s">
        <v>28</v>
      </c>
      <c r="E163" s="7" t="s">
        <v>22</v>
      </c>
      <c r="F163" s="7" t="s">
        <v>38</v>
      </c>
      <c r="G163" s="7" t="n">
        <v>320</v>
      </c>
      <c r="H163" s="8" t="n">
        <v>911.99</v>
      </c>
      <c r="I163" s="8" t="n">
        <v>291836.8</v>
      </c>
      <c r="J163" s="8" t="n">
        <v>151256.594431378</v>
      </c>
      <c r="K163" s="8" t="n">
        <v>140580.205568622</v>
      </c>
      <c r="L163" s="9" t="n">
        <f aca="false">K163/I163</f>
        <v>0.481708288908808</v>
      </c>
      <c r="M163" s="8" t="n">
        <v>325173.346930541</v>
      </c>
      <c r="N163" s="9" t="n">
        <f aca="false">I163/M163</f>
        <v>0.897480690698608</v>
      </c>
    </row>
    <row r="164" customFormat="false" ht="15" hidden="false" customHeight="false" outlineLevel="0" collapsed="false">
      <c r="A164" s="2" t="s">
        <v>207</v>
      </c>
      <c r="B164" s="3" t="s">
        <v>205</v>
      </c>
      <c r="C164" s="3" t="s">
        <v>16</v>
      </c>
      <c r="D164" s="3" t="s">
        <v>45</v>
      </c>
      <c r="E164" s="3" t="s">
        <v>22</v>
      </c>
      <c r="F164" s="3" t="s">
        <v>23</v>
      </c>
      <c r="G164" s="3" t="n">
        <v>155</v>
      </c>
      <c r="H164" s="4" t="n">
        <v>1372.52</v>
      </c>
      <c r="I164" s="4" t="n">
        <v>212740.6</v>
      </c>
      <c r="J164" s="4" t="n">
        <v>127279.20407725</v>
      </c>
      <c r="K164" s="4" t="n">
        <v>85461.3959227499</v>
      </c>
      <c r="L164" s="5" t="n">
        <f aca="false">K164/I164</f>
        <v>0.401716437401934</v>
      </c>
      <c r="M164" s="4" t="n">
        <v>220064.607340306</v>
      </c>
      <c r="N164" s="5" t="n">
        <f aca="false">I164/M164</f>
        <v>0.966718831215869</v>
      </c>
    </row>
    <row r="165" customFormat="false" ht="15" hidden="false" customHeight="false" outlineLevel="0" collapsed="false">
      <c r="A165" s="6" t="s">
        <v>208</v>
      </c>
      <c r="B165" s="7" t="s">
        <v>205</v>
      </c>
      <c r="C165" s="7" t="s">
        <v>40</v>
      </c>
      <c r="D165" s="7" t="s">
        <v>17</v>
      </c>
      <c r="E165" s="7" t="s">
        <v>59</v>
      </c>
      <c r="F165" s="7" t="s">
        <v>38</v>
      </c>
      <c r="G165" s="7" t="n">
        <v>316</v>
      </c>
      <c r="H165" s="8" t="n">
        <v>156.82</v>
      </c>
      <c r="I165" s="8" t="n">
        <v>49555.12</v>
      </c>
      <c r="J165" s="8" t="n">
        <v>24832.357114531</v>
      </c>
      <c r="K165" s="8" t="n">
        <v>24722.762885469</v>
      </c>
      <c r="L165" s="9" t="n">
        <f aca="false">K165/I165</f>
        <v>0.498894218911567</v>
      </c>
      <c r="M165" s="8" t="n">
        <v>58517.8290034924</v>
      </c>
      <c r="N165" s="9" t="n">
        <f aca="false">I165/M165</f>
        <v>0.846837978166321</v>
      </c>
    </row>
    <row r="166" customFormat="false" ht="15" hidden="false" customHeight="false" outlineLevel="0" collapsed="false">
      <c r="A166" s="2" t="s">
        <v>209</v>
      </c>
      <c r="B166" s="3" t="s">
        <v>205</v>
      </c>
      <c r="C166" s="3" t="s">
        <v>27</v>
      </c>
      <c r="D166" s="3" t="s">
        <v>45</v>
      </c>
      <c r="E166" s="3" t="s">
        <v>18</v>
      </c>
      <c r="F166" s="3" t="s">
        <v>30</v>
      </c>
      <c r="G166" s="3" t="n">
        <v>71</v>
      </c>
      <c r="H166" s="4" t="n">
        <v>65.07</v>
      </c>
      <c r="I166" s="4" t="n">
        <v>4619.97</v>
      </c>
      <c r="J166" s="4" t="n">
        <v>2941.78220995546</v>
      </c>
      <c r="K166" s="4" t="n">
        <v>1678.18779004454</v>
      </c>
      <c r="L166" s="5" t="n">
        <f aca="false">K166/I166</f>
        <v>0.363246469142558</v>
      </c>
      <c r="M166" s="4" t="n">
        <v>4211.07114983782</v>
      </c>
      <c r="N166" s="5" t="n">
        <f aca="false">I166/M166</f>
        <v>1.09710091224128</v>
      </c>
    </row>
    <row r="167" customFormat="false" ht="15" hidden="false" customHeight="false" outlineLevel="0" collapsed="false">
      <c r="A167" s="6" t="s">
        <v>210</v>
      </c>
      <c r="B167" s="7" t="s">
        <v>205</v>
      </c>
      <c r="C167" s="7" t="s">
        <v>32</v>
      </c>
      <c r="D167" s="7" t="s">
        <v>51</v>
      </c>
      <c r="E167" s="7" t="s">
        <v>59</v>
      </c>
      <c r="F167" s="7" t="s">
        <v>30</v>
      </c>
      <c r="G167" s="7" t="n">
        <v>46</v>
      </c>
      <c r="H167" s="8" t="n">
        <v>824.29</v>
      </c>
      <c r="I167" s="8" t="n">
        <v>37917.34</v>
      </c>
      <c r="J167" s="8" t="n">
        <v>24096.861326027</v>
      </c>
      <c r="K167" s="8" t="n">
        <v>13820.478673973</v>
      </c>
      <c r="L167" s="9" t="n">
        <f aca="false">K167/I167</f>
        <v>0.364489668156389</v>
      </c>
      <c r="M167" s="8" t="n">
        <v>38018.839351196</v>
      </c>
      <c r="N167" s="9" t="n">
        <f aca="false">I167/M167</f>
        <v>0.99733028801173</v>
      </c>
    </row>
    <row r="168" customFormat="false" ht="15" hidden="false" customHeight="false" outlineLevel="0" collapsed="false">
      <c r="A168" s="2" t="s">
        <v>211</v>
      </c>
      <c r="B168" s="3" t="s">
        <v>205</v>
      </c>
      <c r="C168" s="3" t="s">
        <v>32</v>
      </c>
      <c r="D168" s="3" t="s">
        <v>17</v>
      </c>
      <c r="E168" s="3" t="s">
        <v>29</v>
      </c>
      <c r="F168" s="3" t="s">
        <v>38</v>
      </c>
      <c r="G168" s="3" t="n">
        <v>303</v>
      </c>
      <c r="H168" s="4" t="n">
        <v>838.62</v>
      </c>
      <c r="I168" s="4" t="n">
        <v>254101.86</v>
      </c>
      <c r="J168" s="4" t="n">
        <v>155011.134192124</v>
      </c>
      <c r="K168" s="4" t="n">
        <v>99090.7258078764</v>
      </c>
      <c r="L168" s="5" t="n">
        <f aca="false">K168/I168</f>
        <v>0.389964582738105</v>
      </c>
      <c r="M168" s="4" t="n">
        <v>241734.804283168</v>
      </c>
      <c r="N168" s="5" t="n">
        <f aca="false">I168/M168</f>
        <v>1.05115959927038</v>
      </c>
    </row>
    <row r="169" customFormat="false" ht="15" hidden="false" customHeight="false" outlineLevel="0" collapsed="false">
      <c r="A169" s="6" t="s">
        <v>212</v>
      </c>
      <c r="B169" s="7" t="s">
        <v>205</v>
      </c>
      <c r="C169" s="7" t="s">
        <v>32</v>
      </c>
      <c r="D169" s="7" t="s">
        <v>17</v>
      </c>
      <c r="E169" s="7" t="s">
        <v>29</v>
      </c>
      <c r="F169" s="7" t="s">
        <v>19</v>
      </c>
      <c r="G169" s="7" t="n">
        <v>420</v>
      </c>
      <c r="H169" s="8" t="n">
        <v>1897.85</v>
      </c>
      <c r="I169" s="8" t="n">
        <v>797097</v>
      </c>
      <c r="J169" s="8" t="n">
        <v>450379.115052212</v>
      </c>
      <c r="K169" s="8" t="n">
        <v>346717.884947788</v>
      </c>
      <c r="L169" s="9" t="n">
        <f aca="false">K169/I169</f>
        <v>0.434975774526548</v>
      </c>
      <c r="M169" s="8" t="n">
        <v>869922.583220214</v>
      </c>
      <c r="N169" s="9" t="n">
        <f aca="false">I169/M169</f>
        <v>0.916284983715869</v>
      </c>
    </row>
    <row r="170" customFormat="false" ht="15" hidden="false" customHeight="false" outlineLevel="0" collapsed="false">
      <c r="A170" s="2" t="s">
        <v>213</v>
      </c>
      <c r="B170" s="3" t="s">
        <v>205</v>
      </c>
      <c r="C170" s="3" t="s">
        <v>40</v>
      </c>
      <c r="D170" s="3" t="s">
        <v>17</v>
      </c>
      <c r="E170" s="3" t="s">
        <v>22</v>
      </c>
      <c r="F170" s="3" t="s">
        <v>23</v>
      </c>
      <c r="G170" s="3" t="n">
        <v>134</v>
      </c>
      <c r="H170" s="4" t="n">
        <v>899.57</v>
      </c>
      <c r="I170" s="4" t="n">
        <v>120542.38</v>
      </c>
      <c r="J170" s="4" t="n">
        <v>66311.864482326</v>
      </c>
      <c r="K170" s="4" t="n">
        <v>54230.515517674</v>
      </c>
      <c r="L170" s="5" t="n">
        <f aca="false">K170/I170</f>
        <v>0.449887545920978</v>
      </c>
      <c r="M170" s="4" t="n">
        <v>105779.130486838</v>
      </c>
      <c r="N170" s="5" t="n">
        <f aca="false">I170/M170</f>
        <v>1.13956675050376</v>
      </c>
    </row>
    <row r="171" customFormat="false" ht="15" hidden="false" customHeight="false" outlineLevel="0" collapsed="false">
      <c r="A171" s="6" t="s">
        <v>214</v>
      </c>
      <c r="B171" s="7" t="s">
        <v>205</v>
      </c>
      <c r="C171" s="7" t="s">
        <v>40</v>
      </c>
      <c r="D171" s="7" t="s">
        <v>45</v>
      </c>
      <c r="E171" s="7" t="s">
        <v>59</v>
      </c>
      <c r="F171" s="7" t="s">
        <v>30</v>
      </c>
      <c r="G171" s="7" t="n">
        <v>408</v>
      </c>
      <c r="H171" s="8" t="n">
        <v>377.86</v>
      </c>
      <c r="I171" s="8" t="n">
        <v>154166.88</v>
      </c>
      <c r="J171" s="8" t="n">
        <v>89049.9998175038</v>
      </c>
      <c r="K171" s="8" t="n">
        <v>65116.8801824962</v>
      </c>
      <c r="L171" s="9" t="n">
        <f aca="false">K171/I171</f>
        <v>0.422379178864463</v>
      </c>
      <c r="M171" s="8" t="n">
        <v>137194.543955278</v>
      </c>
      <c r="N171" s="9" t="n">
        <f aca="false">I171/M171</f>
        <v>1.12370999279866</v>
      </c>
    </row>
    <row r="172" customFormat="false" ht="15" hidden="false" customHeight="false" outlineLevel="0" collapsed="false">
      <c r="A172" s="2" t="s">
        <v>215</v>
      </c>
      <c r="B172" s="3" t="s">
        <v>205</v>
      </c>
      <c r="C172" s="3" t="s">
        <v>21</v>
      </c>
      <c r="D172" s="3" t="s">
        <v>25</v>
      </c>
      <c r="E172" s="3" t="s">
        <v>29</v>
      </c>
      <c r="F172" s="3" t="s">
        <v>30</v>
      </c>
      <c r="G172" s="3" t="n">
        <v>382</v>
      </c>
      <c r="H172" s="4" t="n">
        <v>1918.54</v>
      </c>
      <c r="I172" s="4" t="n">
        <v>732882.28</v>
      </c>
      <c r="J172" s="4" t="n">
        <v>448055.455996284</v>
      </c>
      <c r="K172" s="4" t="n">
        <v>284826.824003716</v>
      </c>
      <c r="L172" s="5" t="n">
        <f aca="false">K172/I172</f>
        <v>0.388639255957609</v>
      </c>
      <c r="M172" s="4" t="n">
        <v>660833.68030852</v>
      </c>
      <c r="N172" s="5" t="n">
        <f aca="false">I172/M172</f>
        <v>1.10902682753373</v>
      </c>
    </row>
    <row r="173" customFormat="false" ht="15" hidden="false" customHeight="false" outlineLevel="0" collapsed="false">
      <c r="A173" s="6" t="s">
        <v>216</v>
      </c>
      <c r="B173" s="7" t="s">
        <v>205</v>
      </c>
      <c r="C173" s="7" t="s">
        <v>16</v>
      </c>
      <c r="D173" s="7" t="s">
        <v>25</v>
      </c>
      <c r="E173" s="7" t="s">
        <v>18</v>
      </c>
      <c r="F173" s="7" t="s">
        <v>19</v>
      </c>
      <c r="G173" s="7" t="n">
        <v>98</v>
      </c>
      <c r="H173" s="8" t="n">
        <v>1224.68</v>
      </c>
      <c r="I173" s="8" t="n">
        <v>120018.64</v>
      </c>
      <c r="J173" s="8" t="n">
        <v>76818.389469684</v>
      </c>
      <c r="K173" s="8" t="n">
        <v>43200.250530316</v>
      </c>
      <c r="L173" s="9" t="n">
        <f aca="false">K173/I173</f>
        <v>0.359946176113277</v>
      </c>
      <c r="M173" s="8" t="n">
        <v>129551.498982572</v>
      </c>
      <c r="N173" s="9" t="n">
        <f aca="false">I173/M173</f>
        <v>0.926416451701156</v>
      </c>
    </row>
    <row r="174" customFormat="false" ht="15" hidden="false" customHeight="false" outlineLevel="0" collapsed="false">
      <c r="A174" s="2" t="s">
        <v>217</v>
      </c>
      <c r="B174" s="3" t="s">
        <v>205</v>
      </c>
      <c r="C174" s="3" t="s">
        <v>27</v>
      </c>
      <c r="D174" s="3" t="s">
        <v>28</v>
      </c>
      <c r="E174" s="3" t="s">
        <v>54</v>
      </c>
      <c r="F174" s="3" t="s">
        <v>38</v>
      </c>
      <c r="G174" s="3" t="n">
        <v>358</v>
      </c>
      <c r="H174" s="4" t="n">
        <v>1852.1</v>
      </c>
      <c r="I174" s="4" t="n">
        <v>663051.8</v>
      </c>
      <c r="J174" s="4" t="n">
        <v>391945.133267609</v>
      </c>
      <c r="K174" s="4" t="n">
        <v>271106.666732391</v>
      </c>
      <c r="L174" s="5" t="n">
        <f aca="false">K174/I174</f>
        <v>0.4088770541493</v>
      </c>
      <c r="M174" s="4" t="n">
        <v>711026.522896535</v>
      </c>
      <c r="N174" s="5" t="n">
        <f aca="false">I174/M174</f>
        <v>0.932527519928372</v>
      </c>
    </row>
    <row r="175" customFormat="false" ht="15" hidden="false" customHeight="false" outlineLevel="0" collapsed="false">
      <c r="A175" s="6" t="s">
        <v>218</v>
      </c>
      <c r="B175" s="7" t="s">
        <v>205</v>
      </c>
      <c r="C175" s="7" t="s">
        <v>21</v>
      </c>
      <c r="D175" s="7" t="s">
        <v>45</v>
      </c>
      <c r="E175" s="7" t="s">
        <v>29</v>
      </c>
      <c r="F175" s="7" t="s">
        <v>19</v>
      </c>
      <c r="G175" s="7" t="n">
        <v>235</v>
      </c>
      <c r="H175" s="8" t="n">
        <v>183.16</v>
      </c>
      <c r="I175" s="8" t="n">
        <v>43042.6</v>
      </c>
      <c r="J175" s="8" t="n">
        <v>24127.6162021199</v>
      </c>
      <c r="K175" s="8" t="n">
        <v>18914.9837978801</v>
      </c>
      <c r="L175" s="9" t="n">
        <f aca="false">K175/I175</f>
        <v>0.439447984040929</v>
      </c>
      <c r="M175" s="8" t="n">
        <v>41148.1726015301</v>
      </c>
      <c r="N175" s="9" t="n">
        <f aca="false">I175/M175</f>
        <v>1.04603916234179</v>
      </c>
    </row>
    <row r="176" customFormat="false" ht="15" hidden="false" customHeight="false" outlineLevel="0" collapsed="false">
      <c r="A176" s="2" t="s">
        <v>219</v>
      </c>
      <c r="B176" s="3" t="s">
        <v>205</v>
      </c>
      <c r="C176" s="3" t="s">
        <v>40</v>
      </c>
      <c r="D176" s="3" t="s">
        <v>51</v>
      </c>
      <c r="E176" s="3" t="s">
        <v>36</v>
      </c>
      <c r="F176" s="3" t="s">
        <v>30</v>
      </c>
      <c r="G176" s="3" t="n">
        <v>269</v>
      </c>
      <c r="H176" s="4" t="n">
        <v>194.67</v>
      </c>
      <c r="I176" s="4" t="n">
        <v>52366.23</v>
      </c>
      <c r="J176" s="4" t="n">
        <v>29609.7318115067</v>
      </c>
      <c r="K176" s="4" t="n">
        <v>22756.4981884933</v>
      </c>
      <c r="L176" s="5" t="n">
        <f aca="false">K176/I176</f>
        <v>0.434564378388386</v>
      </c>
      <c r="M176" s="4" t="n">
        <v>45200.5678849348</v>
      </c>
      <c r="N176" s="5" t="n">
        <f aca="false">I176/M176</f>
        <v>1.15853035593063</v>
      </c>
    </row>
    <row r="177" customFormat="false" ht="15" hidden="false" customHeight="false" outlineLevel="0" collapsed="false">
      <c r="A177" s="6" t="s">
        <v>220</v>
      </c>
      <c r="B177" s="7" t="s">
        <v>205</v>
      </c>
      <c r="C177" s="7" t="s">
        <v>40</v>
      </c>
      <c r="D177" s="7" t="s">
        <v>45</v>
      </c>
      <c r="E177" s="7" t="s">
        <v>34</v>
      </c>
      <c r="F177" s="7" t="s">
        <v>23</v>
      </c>
      <c r="G177" s="7" t="n">
        <v>324</v>
      </c>
      <c r="H177" s="8" t="n">
        <v>1208.46</v>
      </c>
      <c r="I177" s="8" t="n">
        <v>391541.04</v>
      </c>
      <c r="J177" s="8" t="n">
        <v>213828.635185719</v>
      </c>
      <c r="K177" s="8" t="n">
        <v>177712.404814282</v>
      </c>
      <c r="L177" s="9" t="n">
        <f aca="false">K177/I177</f>
        <v>0.453879380854384</v>
      </c>
      <c r="M177" s="8" t="n">
        <v>412337.856902127</v>
      </c>
      <c r="N177" s="9" t="n">
        <f aca="false">I177/M177</f>
        <v>0.9495636489495</v>
      </c>
    </row>
    <row r="178" customFormat="false" ht="15" hidden="false" customHeight="false" outlineLevel="0" collapsed="false">
      <c r="A178" s="2" t="s">
        <v>221</v>
      </c>
      <c r="B178" s="3" t="s">
        <v>205</v>
      </c>
      <c r="C178" s="3" t="s">
        <v>16</v>
      </c>
      <c r="D178" s="3" t="s">
        <v>28</v>
      </c>
      <c r="E178" s="3" t="s">
        <v>59</v>
      </c>
      <c r="F178" s="3" t="s">
        <v>30</v>
      </c>
      <c r="G178" s="3" t="n">
        <v>319</v>
      </c>
      <c r="H178" s="4" t="n">
        <v>977.48</v>
      </c>
      <c r="I178" s="4" t="n">
        <v>311816.12</v>
      </c>
      <c r="J178" s="4" t="n">
        <v>152077.482898564</v>
      </c>
      <c r="K178" s="4" t="n">
        <v>159738.637101436</v>
      </c>
      <c r="L178" s="5" t="n">
        <f aca="false">K178/I178</f>
        <v>0.51228473082609</v>
      </c>
      <c r="M178" s="4" t="n">
        <v>271796.327983449</v>
      </c>
      <c r="N178" s="5" t="n">
        <f aca="false">I178/M178</f>
        <v>1.14724184213036</v>
      </c>
    </row>
    <row r="179" customFormat="false" ht="15" hidden="false" customHeight="false" outlineLevel="0" collapsed="false">
      <c r="A179" s="6" t="s">
        <v>222</v>
      </c>
      <c r="B179" s="7" t="s">
        <v>205</v>
      </c>
      <c r="C179" s="7" t="s">
        <v>16</v>
      </c>
      <c r="D179" s="7" t="s">
        <v>45</v>
      </c>
      <c r="E179" s="7" t="s">
        <v>34</v>
      </c>
      <c r="F179" s="7" t="s">
        <v>19</v>
      </c>
      <c r="G179" s="7" t="n">
        <v>30</v>
      </c>
      <c r="H179" s="8" t="n">
        <v>533.1</v>
      </c>
      <c r="I179" s="8" t="n">
        <v>15993</v>
      </c>
      <c r="J179" s="8" t="n">
        <v>8947.11702025689</v>
      </c>
      <c r="K179" s="8" t="n">
        <v>7045.88297974311</v>
      </c>
      <c r="L179" s="9" t="n">
        <f aca="false">K179/I179</f>
        <v>0.440560431422692</v>
      </c>
      <c r="M179" s="8" t="n">
        <v>16053.7354504809</v>
      </c>
      <c r="N179" s="9" t="n">
        <f aca="false">I179/M179</f>
        <v>0.996216740292736</v>
      </c>
    </row>
    <row r="180" customFormat="false" ht="15" hidden="false" customHeight="false" outlineLevel="0" collapsed="false">
      <c r="A180" s="2" t="s">
        <v>223</v>
      </c>
      <c r="B180" s="3" t="s">
        <v>205</v>
      </c>
      <c r="C180" s="3" t="s">
        <v>21</v>
      </c>
      <c r="D180" s="3" t="s">
        <v>51</v>
      </c>
      <c r="E180" s="3" t="s">
        <v>41</v>
      </c>
      <c r="F180" s="3" t="s">
        <v>30</v>
      </c>
      <c r="G180" s="3" t="n">
        <v>200</v>
      </c>
      <c r="H180" s="4" t="n">
        <v>1839.98</v>
      </c>
      <c r="I180" s="4" t="n">
        <v>367996</v>
      </c>
      <c r="J180" s="4" t="n">
        <v>201240.136059567</v>
      </c>
      <c r="K180" s="4" t="n">
        <v>166755.863940433</v>
      </c>
      <c r="L180" s="5" t="n">
        <f aca="false">K180/I180</f>
        <v>0.453145860119221</v>
      </c>
      <c r="M180" s="4" t="n">
        <v>412546.580517593</v>
      </c>
      <c r="N180" s="5" t="n">
        <f aca="false">I180/M180</f>
        <v>0.892010787092942</v>
      </c>
    </row>
    <row r="181" customFormat="false" ht="15" hidden="false" customHeight="false" outlineLevel="0" collapsed="false">
      <c r="A181" s="6" t="s">
        <v>224</v>
      </c>
      <c r="B181" s="7" t="s">
        <v>205</v>
      </c>
      <c r="C181" s="7" t="s">
        <v>21</v>
      </c>
      <c r="D181" s="7" t="s">
        <v>17</v>
      </c>
      <c r="E181" s="7" t="s">
        <v>29</v>
      </c>
      <c r="F181" s="7" t="s">
        <v>23</v>
      </c>
      <c r="G181" s="7" t="n">
        <v>178</v>
      </c>
      <c r="H181" s="8" t="n">
        <v>234.29</v>
      </c>
      <c r="I181" s="8" t="n">
        <v>41703.62</v>
      </c>
      <c r="J181" s="8" t="n">
        <v>25839.3476032649</v>
      </c>
      <c r="K181" s="8" t="n">
        <v>15864.2723967351</v>
      </c>
      <c r="L181" s="9" t="n">
        <f aca="false">K181/I181</f>
        <v>0.38040516378998</v>
      </c>
      <c r="M181" s="8" t="n">
        <v>39595.562097967</v>
      </c>
      <c r="N181" s="9" t="n">
        <f aca="false">I181/M181</f>
        <v>1.0532397518898</v>
      </c>
    </row>
    <row r="182" customFormat="false" ht="15" hidden="false" customHeight="false" outlineLevel="0" collapsed="false">
      <c r="A182" s="2" t="s">
        <v>225</v>
      </c>
      <c r="B182" s="3" t="s">
        <v>226</v>
      </c>
      <c r="C182" s="3" t="s">
        <v>21</v>
      </c>
      <c r="D182" s="3" t="s">
        <v>25</v>
      </c>
      <c r="E182" s="3" t="s">
        <v>29</v>
      </c>
      <c r="F182" s="3" t="s">
        <v>23</v>
      </c>
      <c r="G182" s="3" t="n">
        <v>308</v>
      </c>
      <c r="H182" s="4" t="n">
        <v>1344.04</v>
      </c>
      <c r="I182" s="4" t="n">
        <v>413964.32</v>
      </c>
      <c r="J182" s="4" t="n">
        <v>281159.024720033</v>
      </c>
      <c r="K182" s="4" t="n">
        <v>132805.295279967</v>
      </c>
      <c r="L182" s="5" t="n">
        <f aca="false">K182/I182</f>
        <v>0.32081338623572</v>
      </c>
      <c r="M182" s="4" t="n">
        <v>396818.376597319</v>
      </c>
      <c r="N182" s="5" t="n">
        <f aca="false">I182/M182</f>
        <v>1.04320854177598</v>
      </c>
    </row>
    <row r="183" customFormat="false" ht="15" hidden="false" customHeight="false" outlineLevel="0" collapsed="false">
      <c r="A183" s="6" t="s">
        <v>227</v>
      </c>
      <c r="B183" s="7" t="s">
        <v>226</v>
      </c>
      <c r="C183" s="7" t="s">
        <v>32</v>
      </c>
      <c r="D183" s="7" t="s">
        <v>25</v>
      </c>
      <c r="E183" s="7" t="s">
        <v>34</v>
      </c>
      <c r="F183" s="7" t="s">
        <v>30</v>
      </c>
      <c r="G183" s="7" t="n">
        <v>296</v>
      </c>
      <c r="H183" s="8" t="n">
        <v>784.52</v>
      </c>
      <c r="I183" s="8" t="n">
        <v>232217.92</v>
      </c>
      <c r="J183" s="8" t="n">
        <v>150457.58729955</v>
      </c>
      <c r="K183" s="8" t="n">
        <v>81760.3327004501</v>
      </c>
      <c r="L183" s="9" t="n">
        <f aca="false">K183/I183</f>
        <v>0.352084510534114</v>
      </c>
      <c r="M183" s="8" t="n">
        <v>263477.859675593</v>
      </c>
      <c r="N183" s="9" t="n">
        <f aca="false">I183/M183</f>
        <v>0.881356483941073</v>
      </c>
    </row>
    <row r="184" customFormat="false" ht="15" hidden="false" customHeight="false" outlineLevel="0" collapsed="false">
      <c r="A184" s="2" t="s">
        <v>228</v>
      </c>
      <c r="B184" s="3" t="s">
        <v>226</v>
      </c>
      <c r="C184" s="3" t="s">
        <v>21</v>
      </c>
      <c r="D184" s="3" t="s">
        <v>17</v>
      </c>
      <c r="E184" s="3" t="s">
        <v>22</v>
      </c>
      <c r="F184" s="3" t="s">
        <v>30</v>
      </c>
      <c r="G184" s="3" t="n">
        <v>19</v>
      </c>
      <c r="H184" s="4" t="n">
        <v>757.07</v>
      </c>
      <c r="I184" s="4" t="n">
        <v>14384.33</v>
      </c>
      <c r="J184" s="4" t="n">
        <v>7121.18884235627</v>
      </c>
      <c r="K184" s="4" t="n">
        <v>7263.14115764373</v>
      </c>
      <c r="L184" s="5" t="n">
        <f aca="false">K184/I184</f>
        <v>0.504934269280789</v>
      </c>
      <c r="M184" s="4" t="n">
        <v>13305.0367728425</v>
      </c>
      <c r="N184" s="5" t="n">
        <f aca="false">I184/M184</f>
        <v>1.08111914649951</v>
      </c>
    </row>
    <row r="185" customFormat="false" ht="15" hidden="false" customHeight="false" outlineLevel="0" collapsed="false">
      <c r="A185" s="6" t="s">
        <v>229</v>
      </c>
      <c r="B185" s="7" t="s">
        <v>226</v>
      </c>
      <c r="C185" s="7" t="s">
        <v>32</v>
      </c>
      <c r="D185" s="7" t="s">
        <v>25</v>
      </c>
      <c r="E185" s="7" t="s">
        <v>59</v>
      </c>
      <c r="F185" s="7" t="s">
        <v>19</v>
      </c>
      <c r="G185" s="7" t="n">
        <v>89</v>
      </c>
      <c r="H185" s="8" t="n">
        <v>200.47</v>
      </c>
      <c r="I185" s="8" t="n">
        <v>17841.83</v>
      </c>
      <c r="J185" s="8" t="n">
        <v>11795.3604395269</v>
      </c>
      <c r="K185" s="8" t="n">
        <v>6046.46956047314</v>
      </c>
      <c r="L185" s="9" t="n">
        <f aca="false">K185/I185</f>
        <v>0.338892902828529</v>
      </c>
      <c r="M185" s="8" t="n">
        <v>15797.1432090015</v>
      </c>
      <c r="N185" s="9" t="n">
        <f aca="false">I185/M185</f>
        <v>1.12943395928914</v>
      </c>
    </row>
    <row r="186" customFormat="false" ht="15" hidden="false" customHeight="false" outlineLevel="0" collapsed="false">
      <c r="A186" s="2" t="s">
        <v>230</v>
      </c>
      <c r="B186" s="3" t="s">
        <v>226</v>
      </c>
      <c r="C186" s="3" t="s">
        <v>21</v>
      </c>
      <c r="D186" s="3" t="s">
        <v>51</v>
      </c>
      <c r="E186" s="3" t="s">
        <v>36</v>
      </c>
      <c r="F186" s="3" t="s">
        <v>30</v>
      </c>
      <c r="G186" s="3" t="n">
        <v>458</v>
      </c>
      <c r="H186" s="4" t="n">
        <v>1544.3</v>
      </c>
      <c r="I186" s="4" t="n">
        <v>707289.4</v>
      </c>
      <c r="J186" s="4" t="n">
        <v>341452.629470813</v>
      </c>
      <c r="K186" s="4" t="n">
        <v>365836.770529187</v>
      </c>
      <c r="L186" s="5" t="n">
        <f aca="false">K186/I186</f>
        <v>0.517237739642623</v>
      </c>
      <c r="M186" s="4" t="n">
        <v>694453.479990749</v>
      </c>
      <c r="N186" s="5" t="n">
        <f aca="false">I186/M186</f>
        <v>1.01848348432126</v>
      </c>
    </row>
    <row r="187" customFormat="false" ht="15" hidden="false" customHeight="false" outlineLevel="0" collapsed="false">
      <c r="A187" s="6" t="s">
        <v>231</v>
      </c>
      <c r="B187" s="7" t="s">
        <v>226</v>
      </c>
      <c r="C187" s="7" t="s">
        <v>27</v>
      </c>
      <c r="D187" s="7" t="s">
        <v>25</v>
      </c>
      <c r="E187" s="7" t="s">
        <v>41</v>
      </c>
      <c r="F187" s="7" t="s">
        <v>38</v>
      </c>
      <c r="G187" s="7" t="n">
        <v>32</v>
      </c>
      <c r="H187" s="8" t="n">
        <v>851.17</v>
      </c>
      <c r="I187" s="8" t="n">
        <v>27237.44</v>
      </c>
      <c r="J187" s="8" t="n">
        <v>16862.4466278337</v>
      </c>
      <c r="K187" s="8" t="n">
        <v>10374.9933721663</v>
      </c>
      <c r="L187" s="9" t="n">
        <f aca="false">K187/I187</f>
        <v>0.380909269452867</v>
      </c>
      <c r="M187" s="8" t="n">
        <v>25416.2241135345</v>
      </c>
      <c r="N187" s="9" t="n">
        <f aca="false">I187/M187</f>
        <v>1.07165564319586</v>
      </c>
    </row>
    <row r="188" customFormat="false" ht="15" hidden="false" customHeight="false" outlineLevel="0" collapsed="false">
      <c r="A188" s="2" t="s">
        <v>232</v>
      </c>
      <c r="B188" s="3" t="s">
        <v>226</v>
      </c>
      <c r="C188" s="3" t="s">
        <v>32</v>
      </c>
      <c r="D188" s="3" t="s">
        <v>51</v>
      </c>
      <c r="E188" s="3" t="s">
        <v>18</v>
      </c>
      <c r="F188" s="3" t="s">
        <v>38</v>
      </c>
      <c r="G188" s="3" t="n">
        <v>129</v>
      </c>
      <c r="H188" s="4" t="n">
        <v>1091.32</v>
      </c>
      <c r="I188" s="4" t="n">
        <v>140780.28</v>
      </c>
      <c r="J188" s="4" t="n">
        <v>74242.8702822801</v>
      </c>
      <c r="K188" s="4" t="n">
        <v>66537.4097177199</v>
      </c>
      <c r="L188" s="5" t="n">
        <f aca="false">K188/I188</f>
        <v>0.472633025859303</v>
      </c>
      <c r="M188" s="4" t="n">
        <v>159506.641245396</v>
      </c>
      <c r="N188" s="5" t="n">
        <f aca="false">I188/M188</f>
        <v>0.882598234787066</v>
      </c>
    </row>
    <row r="189" customFormat="false" ht="15" hidden="false" customHeight="false" outlineLevel="0" collapsed="false">
      <c r="A189" s="6" t="s">
        <v>233</v>
      </c>
      <c r="B189" s="7" t="s">
        <v>226</v>
      </c>
      <c r="C189" s="7" t="s">
        <v>32</v>
      </c>
      <c r="D189" s="7" t="s">
        <v>25</v>
      </c>
      <c r="E189" s="7" t="s">
        <v>29</v>
      </c>
      <c r="F189" s="7" t="s">
        <v>38</v>
      </c>
      <c r="G189" s="7" t="n">
        <v>246</v>
      </c>
      <c r="H189" s="8" t="n">
        <v>1550.41</v>
      </c>
      <c r="I189" s="8" t="n">
        <v>381400.86</v>
      </c>
      <c r="J189" s="8" t="n">
        <v>245824.681248448</v>
      </c>
      <c r="K189" s="8" t="n">
        <v>135576.178751552</v>
      </c>
      <c r="L189" s="9" t="n">
        <f aca="false">K189/I189</f>
        <v>0.355468990687519</v>
      </c>
      <c r="M189" s="8" t="n">
        <v>391323.896621591</v>
      </c>
      <c r="N189" s="9" t="n">
        <f aca="false">I189/M189</f>
        <v>0.974642395449755</v>
      </c>
    </row>
    <row r="190" customFormat="false" ht="15" hidden="false" customHeight="false" outlineLevel="0" collapsed="false">
      <c r="A190" s="2" t="s">
        <v>234</v>
      </c>
      <c r="B190" s="3" t="s">
        <v>226</v>
      </c>
      <c r="C190" s="3" t="s">
        <v>32</v>
      </c>
      <c r="D190" s="3" t="s">
        <v>25</v>
      </c>
      <c r="E190" s="3" t="s">
        <v>59</v>
      </c>
      <c r="F190" s="3" t="s">
        <v>19</v>
      </c>
      <c r="G190" s="3" t="n">
        <v>456</v>
      </c>
      <c r="H190" s="4" t="n">
        <v>537.51</v>
      </c>
      <c r="I190" s="4" t="n">
        <v>245104.56</v>
      </c>
      <c r="J190" s="4" t="n">
        <v>149586.028387529</v>
      </c>
      <c r="K190" s="4" t="n">
        <v>95518.5316124712</v>
      </c>
      <c r="L190" s="5" t="n">
        <f aca="false">K190/I190</f>
        <v>0.389705240948888</v>
      </c>
      <c r="M190" s="4" t="n">
        <v>283326.39322195</v>
      </c>
      <c r="N190" s="5" t="n">
        <f aca="false">I190/M190</f>
        <v>0.865096107752982</v>
      </c>
    </row>
    <row r="191" customFormat="false" ht="15" hidden="false" customHeight="false" outlineLevel="0" collapsed="false">
      <c r="A191" s="6" t="s">
        <v>235</v>
      </c>
      <c r="B191" s="7" t="s">
        <v>226</v>
      </c>
      <c r="C191" s="7" t="s">
        <v>21</v>
      </c>
      <c r="D191" s="7" t="s">
        <v>17</v>
      </c>
      <c r="E191" s="7" t="s">
        <v>34</v>
      </c>
      <c r="F191" s="7" t="s">
        <v>30</v>
      </c>
      <c r="G191" s="7" t="n">
        <v>52</v>
      </c>
      <c r="H191" s="8" t="n">
        <v>1538.08</v>
      </c>
      <c r="I191" s="8" t="n">
        <v>79980.16</v>
      </c>
      <c r="J191" s="8" t="n">
        <v>41445.5449469812</v>
      </c>
      <c r="K191" s="8" t="n">
        <v>38534.6150530188</v>
      </c>
      <c r="L191" s="9" t="n">
        <f aca="false">K191/I191</f>
        <v>0.481802175102161</v>
      </c>
      <c r="M191" s="8" t="n">
        <v>93325.4234050756</v>
      </c>
      <c r="N191" s="9" t="n">
        <f aca="false">I191/M191</f>
        <v>0.857002916052671</v>
      </c>
    </row>
    <row r="192" customFormat="false" ht="15" hidden="false" customHeight="false" outlineLevel="0" collapsed="false">
      <c r="A192" s="2" t="s">
        <v>236</v>
      </c>
      <c r="B192" s="3" t="s">
        <v>226</v>
      </c>
      <c r="C192" s="3" t="s">
        <v>27</v>
      </c>
      <c r="D192" s="3" t="s">
        <v>28</v>
      </c>
      <c r="E192" s="3" t="s">
        <v>34</v>
      </c>
      <c r="F192" s="3" t="s">
        <v>19</v>
      </c>
      <c r="G192" s="3" t="n">
        <v>428</v>
      </c>
      <c r="H192" s="4" t="n">
        <v>929.7</v>
      </c>
      <c r="I192" s="4" t="n">
        <v>397911.6</v>
      </c>
      <c r="J192" s="4" t="n">
        <v>213836.209444569</v>
      </c>
      <c r="K192" s="4" t="n">
        <v>184075.390555431</v>
      </c>
      <c r="L192" s="5" t="n">
        <f aca="false">K192/I192</f>
        <v>0.462603730465338</v>
      </c>
      <c r="M192" s="4" t="n">
        <v>341939.192403146</v>
      </c>
      <c r="N192" s="5" t="n">
        <f aca="false">I192/M192</f>
        <v>1.16369111479582</v>
      </c>
    </row>
    <row r="193" customFormat="false" ht="15" hidden="false" customHeight="false" outlineLevel="0" collapsed="false">
      <c r="A193" s="6" t="s">
        <v>237</v>
      </c>
      <c r="B193" s="7" t="s">
        <v>226</v>
      </c>
      <c r="C193" s="7" t="s">
        <v>16</v>
      </c>
      <c r="D193" s="7" t="s">
        <v>28</v>
      </c>
      <c r="E193" s="7" t="s">
        <v>29</v>
      </c>
      <c r="F193" s="7" t="s">
        <v>19</v>
      </c>
      <c r="G193" s="7" t="n">
        <v>207</v>
      </c>
      <c r="H193" s="8" t="n">
        <v>1989.32</v>
      </c>
      <c r="I193" s="8" t="n">
        <v>411789.24</v>
      </c>
      <c r="J193" s="8" t="n">
        <v>223901.409213268</v>
      </c>
      <c r="K193" s="8" t="n">
        <v>187887.830786732</v>
      </c>
      <c r="L193" s="9" t="n">
        <f aca="false">K193/I193</f>
        <v>0.456271831645558</v>
      </c>
      <c r="M193" s="8" t="n">
        <v>354083.418782676</v>
      </c>
      <c r="N193" s="9" t="n">
        <f aca="false">I193/M193</f>
        <v>1.16297239056185</v>
      </c>
    </row>
    <row r="194" customFormat="false" ht="15" hidden="false" customHeight="false" outlineLevel="0" collapsed="false">
      <c r="A194" s="2" t="s">
        <v>238</v>
      </c>
      <c r="B194" s="3" t="s">
        <v>226</v>
      </c>
      <c r="C194" s="3" t="s">
        <v>16</v>
      </c>
      <c r="D194" s="3" t="s">
        <v>45</v>
      </c>
      <c r="E194" s="3" t="s">
        <v>41</v>
      </c>
      <c r="F194" s="3" t="s">
        <v>19</v>
      </c>
      <c r="G194" s="3" t="n">
        <v>29</v>
      </c>
      <c r="H194" s="4" t="n">
        <v>609.41</v>
      </c>
      <c r="I194" s="4" t="n">
        <v>17672.89</v>
      </c>
      <c r="J194" s="4" t="n">
        <v>11618.8717963214</v>
      </c>
      <c r="K194" s="4" t="n">
        <v>6054.01820367858</v>
      </c>
      <c r="L194" s="5" t="n">
        <f aca="false">K194/I194</f>
        <v>0.342559604211794</v>
      </c>
      <c r="M194" s="4" t="n">
        <v>19327.5177901646</v>
      </c>
      <c r="N194" s="5" t="n">
        <f aca="false">I194/M194</f>
        <v>0.91439005214593</v>
      </c>
    </row>
    <row r="195" customFormat="false" ht="15" hidden="false" customHeight="false" outlineLevel="0" collapsed="false">
      <c r="A195" s="6" t="s">
        <v>239</v>
      </c>
      <c r="B195" s="7" t="s">
        <v>226</v>
      </c>
      <c r="C195" s="7" t="s">
        <v>27</v>
      </c>
      <c r="D195" s="7" t="s">
        <v>28</v>
      </c>
      <c r="E195" s="7" t="s">
        <v>54</v>
      </c>
      <c r="F195" s="7" t="s">
        <v>23</v>
      </c>
      <c r="G195" s="7" t="n">
        <v>473</v>
      </c>
      <c r="H195" s="8" t="n">
        <v>204.49</v>
      </c>
      <c r="I195" s="8" t="n">
        <v>96723.77</v>
      </c>
      <c r="J195" s="8" t="n">
        <v>49714.1782979103</v>
      </c>
      <c r="K195" s="8" t="n">
        <v>47009.5917020897</v>
      </c>
      <c r="L195" s="9" t="n">
        <f aca="false">K195/I195</f>
        <v>0.486019017890739</v>
      </c>
      <c r="M195" s="8" t="n">
        <v>110481.477070717</v>
      </c>
      <c r="N195" s="9" t="n">
        <f aca="false">I195/M195</f>
        <v>0.875474989695235</v>
      </c>
    </row>
    <row r="196" customFormat="false" ht="15" hidden="false" customHeight="false" outlineLevel="0" collapsed="false">
      <c r="A196" s="2" t="s">
        <v>240</v>
      </c>
      <c r="B196" s="3" t="s">
        <v>226</v>
      </c>
      <c r="C196" s="3" t="s">
        <v>21</v>
      </c>
      <c r="D196" s="3" t="s">
        <v>51</v>
      </c>
      <c r="E196" s="3" t="s">
        <v>22</v>
      </c>
      <c r="F196" s="3" t="s">
        <v>23</v>
      </c>
      <c r="G196" s="3" t="n">
        <v>407</v>
      </c>
      <c r="H196" s="4" t="n">
        <v>611.8</v>
      </c>
      <c r="I196" s="4" t="n">
        <v>249002.6</v>
      </c>
      <c r="J196" s="4" t="n">
        <v>130798.027611269</v>
      </c>
      <c r="K196" s="4" t="n">
        <v>118204.572388731</v>
      </c>
      <c r="L196" s="5" t="n">
        <f aca="false">K196/I196</f>
        <v>0.474712201353445</v>
      </c>
      <c r="M196" s="4" t="n">
        <v>215813.617724829</v>
      </c>
      <c r="N196" s="5" t="n">
        <f aca="false">I196/M196</f>
        <v>1.15378539419828</v>
      </c>
    </row>
    <row r="197" customFormat="false" ht="15" hidden="false" customHeight="false" outlineLevel="0" collapsed="false">
      <c r="A197" s="6" t="s">
        <v>241</v>
      </c>
      <c r="B197" s="7" t="s">
        <v>226</v>
      </c>
      <c r="C197" s="7" t="s">
        <v>32</v>
      </c>
      <c r="D197" s="7" t="s">
        <v>51</v>
      </c>
      <c r="E197" s="7" t="s">
        <v>54</v>
      </c>
      <c r="F197" s="7" t="s">
        <v>23</v>
      </c>
      <c r="G197" s="7" t="n">
        <v>66</v>
      </c>
      <c r="H197" s="8" t="n">
        <v>1681.54</v>
      </c>
      <c r="I197" s="8" t="n">
        <v>110981.64</v>
      </c>
      <c r="J197" s="8" t="n">
        <v>63809.7047009636</v>
      </c>
      <c r="K197" s="8" t="n">
        <v>47171.9352990364</v>
      </c>
      <c r="L197" s="9" t="n">
        <f aca="false">K197/I197</f>
        <v>0.425042694440598</v>
      </c>
      <c r="M197" s="8" t="n">
        <v>115156.638838983</v>
      </c>
      <c r="N197" s="9" t="n">
        <f aca="false">I197/M197</f>
        <v>0.963745044305948</v>
      </c>
    </row>
    <row r="198" customFormat="false" ht="15" hidden="false" customHeight="false" outlineLevel="0" collapsed="false">
      <c r="A198" s="2" t="s">
        <v>242</v>
      </c>
      <c r="B198" s="3" t="s">
        <v>226</v>
      </c>
      <c r="C198" s="3" t="s">
        <v>21</v>
      </c>
      <c r="D198" s="3" t="s">
        <v>51</v>
      </c>
      <c r="E198" s="3" t="s">
        <v>59</v>
      </c>
      <c r="F198" s="3" t="s">
        <v>19</v>
      </c>
      <c r="G198" s="3" t="n">
        <v>159</v>
      </c>
      <c r="H198" s="4" t="n">
        <v>887.02</v>
      </c>
      <c r="I198" s="4" t="n">
        <v>141036.18</v>
      </c>
      <c r="J198" s="4" t="n">
        <v>85143.8797455285</v>
      </c>
      <c r="K198" s="4" t="n">
        <v>55892.3002544715</v>
      </c>
      <c r="L198" s="5" t="n">
        <f aca="false">K198/I198</f>
        <v>0.396297604306012</v>
      </c>
      <c r="M198" s="4" t="n">
        <v>131755.644450059</v>
      </c>
      <c r="N198" s="5" t="n">
        <f aca="false">I198/M198</f>
        <v>1.0704374798414</v>
      </c>
    </row>
    <row r="199" customFormat="false" ht="15" hidden="false" customHeight="false" outlineLevel="0" collapsed="false">
      <c r="A199" s="6" t="s">
        <v>243</v>
      </c>
      <c r="B199" s="7" t="s">
        <v>226</v>
      </c>
      <c r="C199" s="7" t="s">
        <v>32</v>
      </c>
      <c r="D199" s="7" t="s">
        <v>25</v>
      </c>
      <c r="E199" s="7" t="s">
        <v>34</v>
      </c>
      <c r="F199" s="7" t="s">
        <v>30</v>
      </c>
      <c r="G199" s="7" t="n">
        <v>44</v>
      </c>
      <c r="H199" s="8" t="n">
        <v>1909.14</v>
      </c>
      <c r="I199" s="8" t="n">
        <v>84002.16</v>
      </c>
      <c r="J199" s="8" t="n">
        <v>49226.9869627471</v>
      </c>
      <c r="K199" s="8" t="n">
        <v>34775.1730372529</v>
      </c>
      <c r="L199" s="9" t="n">
        <f aca="false">K199/I199</f>
        <v>0.413979510017992</v>
      </c>
      <c r="M199" s="8" t="n">
        <v>94522.9532015782</v>
      </c>
      <c r="N199" s="9" t="n">
        <f aca="false">I199/M199</f>
        <v>0.888695889778838</v>
      </c>
    </row>
    <row r="200" customFormat="false" ht="15" hidden="false" customHeight="false" outlineLevel="0" collapsed="false">
      <c r="A200" s="2" t="s">
        <v>244</v>
      </c>
      <c r="B200" s="3" t="s">
        <v>226</v>
      </c>
      <c r="C200" s="3" t="s">
        <v>21</v>
      </c>
      <c r="D200" s="3" t="s">
        <v>51</v>
      </c>
      <c r="E200" s="3" t="s">
        <v>36</v>
      </c>
      <c r="F200" s="3" t="s">
        <v>38</v>
      </c>
      <c r="G200" s="3" t="n">
        <v>457</v>
      </c>
      <c r="H200" s="4" t="n">
        <v>966.76</v>
      </c>
      <c r="I200" s="4" t="n">
        <v>441809.32</v>
      </c>
      <c r="J200" s="4" t="n">
        <v>269025.514030654</v>
      </c>
      <c r="K200" s="4" t="n">
        <v>172783.805969346</v>
      </c>
      <c r="L200" s="5" t="n">
        <f aca="false">K200/I200</f>
        <v>0.391082302132843</v>
      </c>
      <c r="M200" s="4" t="n">
        <v>527239.248059744</v>
      </c>
      <c r="N200" s="5" t="n">
        <f aca="false">I200/M200</f>
        <v>0.837967434377982</v>
      </c>
    </row>
    <row r="201" customFormat="false" ht="15" hidden="false" customHeight="false" outlineLevel="0" collapsed="false">
      <c r="A201" s="6" t="s">
        <v>245</v>
      </c>
      <c r="B201" s="7" t="s">
        <v>226</v>
      </c>
      <c r="C201" s="7" t="s">
        <v>40</v>
      </c>
      <c r="D201" s="7" t="s">
        <v>17</v>
      </c>
      <c r="E201" s="7" t="s">
        <v>29</v>
      </c>
      <c r="F201" s="7" t="s">
        <v>23</v>
      </c>
      <c r="G201" s="7" t="n">
        <v>186</v>
      </c>
      <c r="H201" s="8" t="n">
        <v>520.2</v>
      </c>
      <c r="I201" s="8" t="n">
        <v>96757.2</v>
      </c>
      <c r="J201" s="8" t="n">
        <v>59435.635463182</v>
      </c>
      <c r="K201" s="8" t="n">
        <v>37321.564536818</v>
      </c>
      <c r="L201" s="9" t="n">
        <f aca="false">K201/I201</f>
        <v>0.385723899997292</v>
      </c>
      <c r="M201" s="8" t="n">
        <v>85754.1989461543</v>
      </c>
      <c r="N201" s="9" t="n">
        <f aca="false">I201/M201</f>
        <v>1.12830859816852</v>
      </c>
    </row>
    <row r="202" customFormat="false" ht="15" hidden="false" customHeight="false" outlineLevel="0" collapsed="false">
      <c r="A202" s="2" t="s">
        <v>246</v>
      </c>
      <c r="B202" s="3" t="s">
        <v>247</v>
      </c>
      <c r="C202" s="3" t="s">
        <v>21</v>
      </c>
      <c r="D202" s="3" t="s">
        <v>45</v>
      </c>
      <c r="E202" s="3" t="s">
        <v>41</v>
      </c>
      <c r="F202" s="3" t="s">
        <v>23</v>
      </c>
      <c r="G202" s="3" t="n">
        <v>190</v>
      </c>
      <c r="H202" s="4" t="n">
        <v>1114.73</v>
      </c>
      <c r="I202" s="4" t="n">
        <v>211798.7</v>
      </c>
      <c r="J202" s="4" t="n">
        <v>138384.445040814</v>
      </c>
      <c r="K202" s="4" t="n">
        <v>73414.2549591865</v>
      </c>
      <c r="L202" s="5" t="n">
        <f aca="false">K202/I202</f>
        <v>0.346622783610978</v>
      </c>
      <c r="M202" s="4" t="n">
        <v>193008.17232279</v>
      </c>
      <c r="N202" s="5" t="n">
        <f aca="false">I202/M202</f>
        <v>1.09735612461935</v>
      </c>
    </row>
    <row r="203" customFormat="false" ht="15" hidden="false" customHeight="false" outlineLevel="0" collapsed="false">
      <c r="A203" s="6" t="s">
        <v>248</v>
      </c>
      <c r="B203" s="7" t="s">
        <v>247</v>
      </c>
      <c r="C203" s="7" t="s">
        <v>32</v>
      </c>
      <c r="D203" s="7" t="s">
        <v>28</v>
      </c>
      <c r="E203" s="7" t="s">
        <v>41</v>
      </c>
      <c r="F203" s="7" t="s">
        <v>19</v>
      </c>
      <c r="G203" s="7" t="n">
        <v>42</v>
      </c>
      <c r="H203" s="8" t="n">
        <v>1446.29</v>
      </c>
      <c r="I203" s="8" t="n">
        <v>60744.18</v>
      </c>
      <c r="J203" s="8" t="n">
        <v>41664.5112809462</v>
      </c>
      <c r="K203" s="8" t="n">
        <v>19079.6687190538</v>
      </c>
      <c r="L203" s="9" t="n">
        <f aca="false">K203/I203</f>
        <v>0.314098712321968</v>
      </c>
      <c r="M203" s="8" t="n">
        <v>52418.8455031421</v>
      </c>
      <c r="N203" s="9" t="n">
        <f aca="false">I203/M203</f>
        <v>1.1588233090017</v>
      </c>
    </row>
    <row r="204" customFormat="false" ht="15" hidden="false" customHeight="false" outlineLevel="0" collapsed="false">
      <c r="A204" s="2" t="s">
        <v>249</v>
      </c>
      <c r="B204" s="3" t="s">
        <v>247</v>
      </c>
      <c r="C204" s="3" t="s">
        <v>27</v>
      </c>
      <c r="D204" s="3" t="s">
        <v>17</v>
      </c>
      <c r="E204" s="3" t="s">
        <v>59</v>
      </c>
      <c r="F204" s="3" t="s">
        <v>23</v>
      </c>
      <c r="G204" s="3" t="n">
        <v>171</v>
      </c>
      <c r="H204" s="4" t="n">
        <v>1870.07</v>
      </c>
      <c r="I204" s="4" t="n">
        <v>319781.97</v>
      </c>
      <c r="J204" s="4" t="n">
        <v>185104.481369369</v>
      </c>
      <c r="K204" s="4" t="n">
        <v>134677.488630631</v>
      </c>
      <c r="L204" s="5" t="n">
        <f aca="false">K204/I204</f>
        <v>0.421154102686375</v>
      </c>
      <c r="M204" s="4" t="n">
        <v>382520.936709192</v>
      </c>
      <c r="N204" s="5" t="n">
        <f aca="false">I204/M204</f>
        <v>0.835985535199897</v>
      </c>
    </row>
    <row r="205" customFormat="false" ht="15" hidden="false" customHeight="false" outlineLevel="0" collapsed="false">
      <c r="A205" s="6" t="s">
        <v>250</v>
      </c>
      <c r="B205" s="7" t="s">
        <v>247</v>
      </c>
      <c r="C205" s="7" t="s">
        <v>21</v>
      </c>
      <c r="D205" s="7" t="s">
        <v>28</v>
      </c>
      <c r="E205" s="7" t="s">
        <v>18</v>
      </c>
      <c r="F205" s="7" t="s">
        <v>23</v>
      </c>
      <c r="G205" s="7" t="n">
        <v>395</v>
      </c>
      <c r="H205" s="8" t="n">
        <v>1311.46</v>
      </c>
      <c r="I205" s="8" t="n">
        <v>518026.7</v>
      </c>
      <c r="J205" s="8" t="n">
        <v>270165.285764153</v>
      </c>
      <c r="K205" s="8" t="n">
        <v>247861.414235847</v>
      </c>
      <c r="L205" s="9" t="n">
        <f aca="false">K205/I205</f>
        <v>0.478472276112113</v>
      </c>
      <c r="M205" s="8" t="n">
        <v>596636.467258642</v>
      </c>
      <c r="N205" s="9" t="n">
        <f aca="false">I205/M205</f>
        <v>0.868245118137298</v>
      </c>
    </row>
    <row r="206" customFormat="false" ht="15" hidden="false" customHeight="false" outlineLevel="0" collapsed="false">
      <c r="A206" s="2" t="s">
        <v>251</v>
      </c>
      <c r="B206" s="3" t="s">
        <v>247</v>
      </c>
      <c r="C206" s="3" t="s">
        <v>16</v>
      </c>
      <c r="D206" s="3" t="s">
        <v>45</v>
      </c>
      <c r="E206" s="3" t="s">
        <v>18</v>
      </c>
      <c r="F206" s="3" t="s">
        <v>23</v>
      </c>
      <c r="G206" s="3" t="n">
        <v>419</v>
      </c>
      <c r="H206" s="4" t="n">
        <v>767.64</v>
      </c>
      <c r="I206" s="4" t="n">
        <v>321641.16</v>
      </c>
      <c r="J206" s="4" t="n">
        <v>216262.390784048</v>
      </c>
      <c r="K206" s="4" t="n">
        <v>105378.769215953</v>
      </c>
      <c r="L206" s="5" t="n">
        <f aca="false">K206/I206</f>
        <v>0.32762837074693</v>
      </c>
      <c r="M206" s="4" t="n">
        <v>357072.409424094</v>
      </c>
      <c r="N206" s="5" t="n">
        <f aca="false">I206/M206</f>
        <v>0.900772928714263</v>
      </c>
    </row>
    <row r="207" customFormat="false" ht="15" hidden="false" customHeight="false" outlineLevel="0" collapsed="false">
      <c r="A207" s="6" t="s">
        <v>252</v>
      </c>
      <c r="B207" s="7" t="s">
        <v>247</v>
      </c>
      <c r="C207" s="7" t="s">
        <v>32</v>
      </c>
      <c r="D207" s="7" t="s">
        <v>45</v>
      </c>
      <c r="E207" s="7" t="s">
        <v>41</v>
      </c>
      <c r="F207" s="7" t="s">
        <v>38</v>
      </c>
      <c r="G207" s="7" t="n">
        <v>364</v>
      </c>
      <c r="H207" s="8" t="n">
        <v>1020.17</v>
      </c>
      <c r="I207" s="8" t="n">
        <v>371341.88</v>
      </c>
      <c r="J207" s="8" t="n">
        <v>252912.642595234</v>
      </c>
      <c r="K207" s="8" t="n">
        <v>118429.237404767</v>
      </c>
      <c r="L207" s="9" t="n">
        <f aca="false">K207/I207</f>
        <v>0.318922383343259</v>
      </c>
      <c r="M207" s="8" t="n">
        <v>383130.703091595</v>
      </c>
      <c r="N207" s="9" t="n">
        <f aca="false">I207/M207</f>
        <v>0.969230283565199</v>
      </c>
    </row>
    <row r="208" customFormat="false" ht="15" hidden="false" customHeight="false" outlineLevel="0" collapsed="false">
      <c r="A208" s="2" t="s">
        <v>253</v>
      </c>
      <c r="B208" s="3" t="s">
        <v>247</v>
      </c>
      <c r="C208" s="3" t="s">
        <v>16</v>
      </c>
      <c r="D208" s="3" t="s">
        <v>28</v>
      </c>
      <c r="E208" s="3" t="s">
        <v>34</v>
      </c>
      <c r="F208" s="3" t="s">
        <v>38</v>
      </c>
      <c r="G208" s="3" t="n">
        <v>318</v>
      </c>
      <c r="H208" s="4" t="n">
        <v>1990.44</v>
      </c>
      <c r="I208" s="4" t="n">
        <v>632959.92</v>
      </c>
      <c r="J208" s="4" t="n">
        <v>313387.394725714</v>
      </c>
      <c r="K208" s="4" t="n">
        <v>319572.525274286</v>
      </c>
      <c r="L208" s="5" t="n">
        <f aca="false">K208/I208</f>
        <v>0.504885878515478</v>
      </c>
      <c r="M208" s="4" t="n">
        <v>603095.761174678</v>
      </c>
      <c r="N208" s="5" t="n">
        <f aca="false">I208/M208</f>
        <v>1.04951810433413</v>
      </c>
    </row>
    <row r="209" customFormat="false" ht="15" hidden="false" customHeight="false" outlineLevel="0" collapsed="false">
      <c r="A209" s="6" t="s">
        <v>254</v>
      </c>
      <c r="B209" s="7" t="s">
        <v>247</v>
      </c>
      <c r="C209" s="7" t="s">
        <v>16</v>
      </c>
      <c r="D209" s="7" t="s">
        <v>17</v>
      </c>
      <c r="E209" s="7" t="s">
        <v>29</v>
      </c>
      <c r="F209" s="7" t="s">
        <v>30</v>
      </c>
      <c r="G209" s="7" t="n">
        <v>166</v>
      </c>
      <c r="H209" s="8" t="n">
        <v>919.54</v>
      </c>
      <c r="I209" s="8" t="n">
        <v>152643.64</v>
      </c>
      <c r="J209" s="8" t="n">
        <v>96076.3077689021</v>
      </c>
      <c r="K209" s="8" t="n">
        <v>56567.3322310979</v>
      </c>
      <c r="L209" s="9" t="n">
        <f aca="false">K209/I209</f>
        <v>0.370584272172086</v>
      </c>
      <c r="M209" s="8" t="n">
        <v>138650.136608289</v>
      </c>
      <c r="N209" s="9" t="n">
        <f aca="false">I209/M209</f>
        <v>1.10092671910771</v>
      </c>
    </row>
    <row r="210" customFormat="false" ht="15" hidden="false" customHeight="false" outlineLevel="0" collapsed="false">
      <c r="A210" s="2" t="s">
        <v>255</v>
      </c>
      <c r="B210" s="3" t="s">
        <v>247</v>
      </c>
      <c r="C210" s="3" t="s">
        <v>32</v>
      </c>
      <c r="D210" s="3" t="s">
        <v>45</v>
      </c>
      <c r="E210" s="3" t="s">
        <v>54</v>
      </c>
      <c r="F210" s="3" t="s">
        <v>23</v>
      </c>
      <c r="G210" s="3" t="n">
        <v>382</v>
      </c>
      <c r="H210" s="4" t="n">
        <v>1746.57</v>
      </c>
      <c r="I210" s="4" t="n">
        <v>667189.74</v>
      </c>
      <c r="J210" s="4" t="n">
        <v>359041.371644824</v>
      </c>
      <c r="K210" s="4" t="n">
        <v>308148.368355176</v>
      </c>
      <c r="L210" s="5" t="n">
        <f aca="false">K210/I210</f>
        <v>0.461860172422879</v>
      </c>
      <c r="M210" s="4" t="n">
        <v>800195.822233166</v>
      </c>
      <c r="N210" s="5" t="n">
        <f aca="false">I210/M210</f>
        <v>0.833783083418287</v>
      </c>
    </row>
    <row r="211" customFormat="false" ht="15" hidden="false" customHeight="false" outlineLevel="0" collapsed="false">
      <c r="A211" s="6" t="s">
        <v>256</v>
      </c>
      <c r="B211" s="7" t="s">
        <v>247</v>
      </c>
      <c r="C211" s="7" t="s">
        <v>40</v>
      </c>
      <c r="D211" s="7" t="s">
        <v>17</v>
      </c>
      <c r="E211" s="7" t="s">
        <v>34</v>
      </c>
      <c r="F211" s="7" t="s">
        <v>38</v>
      </c>
      <c r="G211" s="7" t="n">
        <v>196</v>
      </c>
      <c r="H211" s="8" t="n">
        <v>1050.52</v>
      </c>
      <c r="I211" s="8" t="n">
        <v>205901.92</v>
      </c>
      <c r="J211" s="8" t="n">
        <v>131257.222690913</v>
      </c>
      <c r="K211" s="8" t="n">
        <v>74644.6973090868</v>
      </c>
      <c r="L211" s="9" t="n">
        <f aca="false">K211/I211</f>
        <v>0.362525503934528</v>
      </c>
      <c r="M211" s="8" t="n">
        <v>186546.18296264</v>
      </c>
      <c r="N211" s="9" t="n">
        <f aca="false">I211/M211</f>
        <v>1.10375841912154</v>
      </c>
    </row>
    <row r="212" customFormat="false" ht="15" hidden="false" customHeight="false" outlineLevel="0" collapsed="false">
      <c r="A212" s="2" t="s">
        <v>257</v>
      </c>
      <c r="B212" s="3" t="s">
        <v>247</v>
      </c>
      <c r="C212" s="3" t="s">
        <v>16</v>
      </c>
      <c r="D212" s="3" t="s">
        <v>25</v>
      </c>
      <c r="E212" s="3" t="s">
        <v>54</v>
      </c>
      <c r="F212" s="3" t="s">
        <v>23</v>
      </c>
      <c r="G212" s="3" t="n">
        <v>74</v>
      </c>
      <c r="H212" s="4" t="n">
        <v>181.11</v>
      </c>
      <c r="I212" s="4" t="n">
        <v>13402.14</v>
      </c>
      <c r="J212" s="4" t="n">
        <v>8639.40600697283</v>
      </c>
      <c r="K212" s="4" t="n">
        <v>4762.73399302718</v>
      </c>
      <c r="L212" s="5" t="n">
        <f aca="false">K212/I212</f>
        <v>0.355371156623284</v>
      </c>
      <c r="M212" s="4" t="n">
        <v>13110.1739188989</v>
      </c>
      <c r="N212" s="5" t="n">
        <f aca="false">I212/M212</f>
        <v>1.02227019129626</v>
      </c>
    </row>
    <row r="213" customFormat="false" ht="15" hidden="false" customHeight="false" outlineLevel="0" collapsed="false">
      <c r="A213" s="6" t="s">
        <v>258</v>
      </c>
      <c r="B213" s="7" t="s">
        <v>247</v>
      </c>
      <c r="C213" s="7" t="s">
        <v>32</v>
      </c>
      <c r="D213" s="7" t="s">
        <v>51</v>
      </c>
      <c r="E213" s="7" t="s">
        <v>36</v>
      </c>
      <c r="F213" s="7" t="s">
        <v>19</v>
      </c>
      <c r="G213" s="7" t="n">
        <v>357</v>
      </c>
      <c r="H213" s="8" t="n">
        <v>927.35</v>
      </c>
      <c r="I213" s="8" t="n">
        <v>331063.95</v>
      </c>
      <c r="J213" s="8" t="n">
        <v>179682.021294835</v>
      </c>
      <c r="K213" s="8" t="n">
        <v>151381.928705165</v>
      </c>
      <c r="L213" s="9" t="n">
        <f aca="false">K213/I213</f>
        <v>0.457258873112475</v>
      </c>
      <c r="M213" s="8" t="n">
        <v>332844.660622134</v>
      </c>
      <c r="N213" s="9" t="n">
        <f aca="false">I213/M213</f>
        <v>0.994650024973196</v>
      </c>
    </row>
    <row r="214" customFormat="false" ht="15" hidden="false" customHeight="false" outlineLevel="0" collapsed="false">
      <c r="A214" s="2" t="s">
        <v>259</v>
      </c>
      <c r="B214" s="3" t="s">
        <v>247</v>
      </c>
      <c r="C214" s="3" t="s">
        <v>16</v>
      </c>
      <c r="D214" s="3" t="s">
        <v>51</v>
      </c>
      <c r="E214" s="3" t="s">
        <v>41</v>
      </c>
      <c r="F214" s="3" t="s">
        <v>30</v>
      </c>
      <c r="G214" s="3" t="n">
        <v>213</v>
      </c>
      <c r="H214" s="4" t="n">
        <v>663.05</v>
      </c>
      <c r="I214" s="4" t="n">
        <v>141229.65</v>
      </c>
      <c r="J214" s="4" t="n">
        <v>73393.157038276</v>
      </c>
      <c r="K214" s="4" t="n">
        <v>67836.492961724</v>
      </c>
      <c r="L214" s="5" t="n">
        <f aca="false">K214/I214</f>
        <v>0.480327558425047</v>
      </c>
      <c r="M214" s="4" t="n">
        <v>167524.071279778</v>
      </c>
      <c r="N214" s="5" t="n">
        <f aca="false">I214/M214</f>
        <v>0.843040936870114</v>
      </c>
    </row>
    <row r="215" customFormat="false" ht="15" hidden="false" customHeight="false" outlineLevel="0" collapsed="false">
      <c r="A215" s="6" t="s">
        <v>260</v>
      </c>
      <c r="B215" s="7" t="s">
        <v>247</v>
      </c>
      <c r="C215" s="7" t="s">
        <v>16</v>
      </c>
      <c r="D215" s="7" t="s">
        <v>25</v>
      </c>
      <c r="E215" s="7" t="s">
        <v>54</v>
      </c>
      <c r="F215" s="7" t="s">
        <v>38</v>
      </c>
      <c r="G215" s="7" t="n">
        <v>477</v>
      </c>
      <c r="H215" s="8" t="n">
        <v>1145.26</v>
      </c>
      <c r="I215" s="8" t="n">
        <v>546289.02</v>
      </c>
      <c r="J215" s="8" t="n">
        <v>281581.49002796</v>
      </c>
      <c r="K215" s="8" t="n">
        <v>264707.52997204</v>
      </c>
      <c r="L215" s="9" t="n">
        <f aca="false">K215/I215</f>
        <v>0.484555830853126</v>
      </c>
      <c r="M215" s="8" t="n">
        <v>514113.372397215</v>
      </c>
      <c r="N215" s="9" t="n">
        <f aca="false">I215/M215</f>
        <v>1.06258473194882</v>
      </c>
    </row>
    <row r="216" customFormat="false" ht="15" hidden="false" customHeight="false" outlineLevel="0" collapsed="false">
      <c r="A216" s="2" t="s">
        <v>261</v>
      </c>
      <c r="B216" s="3" t="s">
        <v>247</v>
      </c>
      <c r="C216" s="3" t="s">
        <v>32</v>
      </c>
      <c r="D216" s="3" t="s">
        <v>25</v>
      </c>
      <c r="E216" s="3" t="s">
        <v>18</v>
      </c>
      <c r="F216" s="3" t="s">
        <v>38</v>
      </c>
      <c r="G216" s="3" t="n">
        <v>112</v>
      </c>
      <c r="H216" s="4" t="n">
        <v>289.14</v>
      </c>
      <c r="I216" s="4" t="n">
        <v>32383.68</v>
      </c>
      <c r="J216" s="4" t="n">
        <v>21477.0694208483</v>
      </c>
      <c r="K216" s="4" t="n">
        <v>10906.6105791518</v>
      </c>
      <c r="L216" s="5" t="n">
        <f aca="false">K216/I216</f>
        <v>0.336793427403919</v>
      </c>
      <c r="M216" s="4" t="n">
        <v>32649.7099828647</v>
      </c>
      <c r="N216" s="5" t="n">
        <f aca="false">I216/M216</f>
        <v>0.99185199553061</v>
      </c>
    </row>
    <row r="217" customFormat="false" ht="15" hidden="false" customHeight="false" outlineLevel="0" collapsed="false">
      <c r="A217" s="6" t="s">
        <v>262</v>
      </c>
      <c r="B217" s="7" t="s">
        <v>247</v>
      </c>
      <c r="C217" s="7" t="s">
        <v>32</v>
      </c>
      <c r="D217" s="7" t="s">
        <v>17</v>
      </c>
      <c r="E217" s="7" t="s">
        <v>29</v>
      </c>
      <c r="F217" s="7" t="s">
        <v>30</v>
      </c>
      <c r="G217" s="7" t="n">
        <v>373</v>
      </c>
      <c r="H217" s="8" t="n">
        <v>176.63</v>
      </c>
      <c r="I217" s="8" t="n">
        <v>65882.99</v>
      </c>
      <c r="J217" s="8" t="n">
        <v>38577.3130924775</v>
      </c>
      <c r="K217" s="8" t="n">
        <v>27305.6769075225</v>
      </c>
      <c r="L217" s="9" t="n">
        <f aca="false">K217/I217</f>
        <v>0.414457159693609</v>
      </c>
      <c r="M217" s="8" t="n">
        <v>76553.8002103216</v>
      </c>
      <c r="N217" s="9" t="n">
        <f aca="false">I217/M217</f>
        <v>0.860610313518011</v>
      </c>
    </row>
    <row r="218" customFormat="false" ht="15" hidden="false" customHeight="false" outlineLevel="0" collapsed="false">
      <c r="A218" s="2" t="s">
        <v>263</v>
      </c>
      <c r="B218" s="3" t="s">
        <v>247</v>
      </c>
      <c r="C218" s="3" t="s">
        <v>27</v>
      </c>
      <c r="D218" s="3" t="s">
        <v>25</v>
      </c>
      <c r="E218" s="3" t="s">
        <v>29</v>
      </c>
      <c r="F218" s="3" t="s">
        <v>19</v>
      </c>
      <c r="G218" s="3" t="n">
        <v>72</v>
      </c>
      <c r="H218" s="4" t="n">
        <v>1971.01</v>
      </c>
      <c r="I218" s="4" t="n">
        <v>141912.72</v>
      </c>
      <c r="J218" s="4" t="n">
        <v>91961.7725401973</v>
      </c>
      <c r="K218" s="4" t="n">
        <v>49950.9474598027</v>
      </c>
      <c r="L218" s="5" t="n">
        <f aca="false">K218/I218</f>
        <v>0.351983581597215</v>
      </c>
      <c r="M218" s="4" t="n">
        <v>132384.3685421</v>
      </c>
      <c r="N218" s="5" t="n">
        <f aca="false">I218/M218</f>
        <v>1.07197489826656</v>
      </c>
    </row>
    <row r="219" customFormat="false" ht="15" hidden="false" customHeight="false" outlineLevel="0" collapsed="false">
      <c r="A219" s="6" t="s">
        <v>264</v>
      </c>
      <c r="B219" s="7" t="s">
        <v>247</v>
      </c>
      <c r="C219" s="7" t="s">
        <v>32</v>
      </c>
      <c r="D219" s="7" t="s">
        <v>17</v>
      </c>
      <c r="E219" s="7" t="s">
        <v>29</v>
      </c>
      <c r="F219" s="7" t="s">
        <v>30</v>
      </c>
      <c r="G219" s="7" t="n">
        <v>249</v>
      </c>
      <c r="H219" s="8" t="n">
        <v>1617.14</v>
      </c>
      <c r="I219" s="8" t="n">
        <v>402667.86</v>
      </c>
      <c r="J219" s="8" t="n">
        <v>236733.159589929</v>
      </c>
      <c r="K219" s="8" t="n">
        <v>165934.700410071</v>
      </c>
      <c r="L219" s="9" t="n">
        <f aca="false">K219/I219</f>
        <v>0.412088266518393</v>
      </c>
      <c r="M219" s="8" t="n">
        <v>428511.859162418</v>
      </c>
      <c r="N219" s="9" t="n">
        <f aca="false">I219/M219</f>
        <v>0.93968895233627</v>
      </c>
    </row>
    <row r="220" customFormat="false" ht="15" hidden="false" customHeight="false" outlineLevel="0" collapsed="false">
      <c r="A220" s="2" t="s">
        <v>265</v>
      </c>
      <c r="B220" s="3" t="s">
        <v>247</v>
      </c>
      <c r="C220" s="3" t="s">
        <v>16</v>
      </c>
      <c r="D220" s="3" t="s">
        <v>17</v>
      </c>
      <c r="E220" s="3" t="s">
        <v>18</v>
      </c>
      <c r="F220" s="3" t="s">
        <v>38</v>
      </c>
      <c r="G220" s="3" t="n">
        <v>377</v>
      </c>
      <c r="H220" s="4" t="n">
        <v>1451.8</v>
      </c>
      <c r="I220" s="4" t="n">
        <v>547328.6</v>
      </c>
      <c r="J220" s="4" t="n">
        <v>318229.936696088</v>
      </c>
      <c r="K220" s="4" t="n">
        <v>229098.663303912</v>
      </c>
      <c r="L220" s="5" t="n">
        <f aca="false">K220/I220</f>
        <v>0.418576086292425</v>
      </c>
      <c r="M220" s="4" t="n">
        <v>612574.324784174</v>
      </c>
      <c r="N220" s="5" t="n">
        <f aca="false">I220/M220</f>
        <v>0.893489292410089</v>
      </c>
    </row>
    <row r="221" customFormat="false" ht="15" hidden="false" customHeight="false" outlineLevel="0" collapsed="false">
      <c r="A221" s="6" t="s">
        <v>266</v>
      </c>
      <c r="B221" s="7" t="s">
        <v>247</v>
      </c>
      <c r="C221" s="7" t="s">
        <v>21</v>
      </c>
      <c r="D221" s="7" t="s">
        <v>17</v>
      </c>
      <c r="E221" s="7" t="s">
        <v>41</v>
      </c>
      <c r="F221" s="7" t="s">
        <v>30</v>
      </c>
      <c r="G221" s="7" t="n">
        <v>338</v>
      </c>
      <c r="H221" s="8" t="n">
        <v>194.62</v>
      </c>
      <c r="I221" s="8" t="n">
        <v>65781.56</v>
      </c>
      <c r="J221" s="8" t="n">
        <v>37262.5106427162</v>
      </c>
      <c r="K221" s="8" t="n">
        <v>28519.0493572838</v>
      </c>
      <c r="L221" s="9" t="n">
        <f aca="false">K221/I221</f>
        <v>0.433541700094735</v>
      </c>
      <c r="M221" s="8" t="n">
        <v>67825.7880306951</v>
      </c>
      <c r="N221" s="9" t="n">
        <f aca="false">I221/M221</f>
        <v>0.969860607741558</v>
      </c>
    </row>
    <row r="222" customFormat="false" ht="15" hidden="false" customHeight="false" outlineLevel="0" collapsed="false">
      <c r="A222" s="2" t="s">
        <v>267</v>
      </c>
      <c r="B222" s="3" t="s">
        <v>268</v>
      </c>
      <c r="C222" s="3" t="s">
        <v>27</v>
      </c>
      <c r="D222" s="3" t="s">
        <v>51</v>
      </c>
      <c r="E222" s="3" t="s">
        <v>41</v>
      </c>
      <c r="F222" s="3" t="s">
        <v>19</v>
      </c>
      <c r="G222" s="3" t="n">
        <v>231</v>
      </c>
      <c r="H222" s="4" t="n">
        <v>1030.58</v>
      </c>
      <c r="I222" s="4" t="n">
        <v>238063.98</v>
      </c>
      <c r="J222" s="4" t="n">
        <v>158801.269876434</v>
      </c>
      <c r="K222" s="4" t="n">
        <v>79262.7101235658</v>
      </c>
      <c r="L222" s="5" t="n">
        <f aca="false">K222/I222</f>
        <v>0.332947093145153</v>
      </c>
      <c r="M222" s="4" t="n">
        <v>271627.854513075</v>
      </c>
      <c r="N222" s="5" t="n">
        <f aca="false">I222/M222</f>
        <v>0.876434342224429</v>
      </c>
    </row>
    <row r="223" customFormat="false" ht="15" hidden="false" customHeight="false" outlineLevel="0" collapsed="false">
      <c r="A223" s="6" t="s">
        <v>269</v>
      </c>
      <c r="B223" s="7" t="s">
        <v>268</v>
      </c>
      <c r="C223" s="7" t="s">
        <v>21</v>
      </c>
      <c r="D223" s="7" t="s">
        <v>25</v>
      </c>
      <c r="E223" s="7" t="s">
        <v>18</v>
      </c>
      <c r="F223" s="7" t="s">
        <v>19</v>
      </c>
      <c r="G223" s="7" t="n">
        <v>92</v>
      </c>
      <c r="H223" s="8" t="n">
        <v>679.19</v>
      </c>
      <c r="I223" s="8" t="n">
        <v>62485.48</v>
      </c>
      <c r="J223" s="8" t="n">
        <v>39199.2056951284</v>
      </c>
      <c r="K223" s="8" t="n">
        <v>23286.2743048716</v>
      </c>
      <c r="L223" s="9" t="n">
        <f aca="false">K223/I223</f>
        <v>0.372666966867688</v>
      </c>
      <c r="M223" s="8" t="n">
        <v>60680.154436924</v>
      </c>
      <c r="N223" s="9" t="n">
        <f aca="false">I223/M223</f>
        <v>1.02975149914875</v>
      </c>
    </row>
    <row r="224" customFormat="false" ht="15" hidden="false" customHeight="false" outlineLevel="0" collapsed="false">
      <c r="A224" s="2" t="s">
        <v>270</v>
      </c>
      <c r="B224" s="3" t="s">
        <v>268</v>
      </c>
      <c r="C224" s="3" t="s">
        <v>21</v>
      </c>
      <c r="D224" s="3" t="s">
        <v>45</v>
      </c>
      <c r="E224" s="3" t="s">
        <v>34</v>
      </c>
      <c r="F224" s="3" t="s">
        <v>30</v>
      </c>
      <c r="G224" s="3" t="n">
        <v>110</v>
      </c>
      <c r="H224" s="4" t="n">
        <v>1288.36</v>
      </c>
      <c r="I224" s="4" t="n">
        <v>141719.6</v>
      </c>
      <c r="J224" s="4" t="n">
        <v>83290.0762664261</v>
      </c>
      <c r="K224" s="4" t="n">
        <v>58429.5237335739</v>
      </c>
      <c r="L224" s="5" t="n">
        <f aca="false">K224/I224</f>
        <v>0.412289646129215</v>
      </c>
      <c r="M224" s="4" t="n">
        <v>126670.339455043</v>
      </c>
      <c r="N224" s="5" t="n">
        <f aca="false">I224/M224</f>
        <v>1.11880650679315</v>
      </c>
    </row>
    <row r="225" customFormat="false" ht="15" hidden="false" customHeight="false" outlineLevel="0" collapsed="false">
      <c r="A225" s="6" t="s">
        <v>271</v>
      </c>
      <c r="B225" s="7" t="s">
        <v>268</v>
      </c>
      <c r="C225" s="7" t="s">
        <v>40</v>
      </c>
      <c r="D225" s="7" t="s">
        <v>51</v>
      </c>
      <c r="E225" s="7" t="s">
        <v>34</v>
      </c>
      <c r="F225" s="7" t="s">
        <v>19</v>
      </c>
      <c r="G225" s="7" t="n">
        <v>313</v>
      </c>
      <c r="H225" s="8" t="n">
        <v>1886.13</v>
      </c>
      <c r="I225" s="8" t="n">
        <v>590358.69</v>
      </c>
      <c r="J225" s="8" t="n">
        <v>288418.891850132</v>
      </c>
      <c r="K225" s="8" t="n">
        <v>301939.798149868</v>
      </c>
      <c r="L225" s="9" t="n">
        <f aca="false">K225/I225</f>
        <v>0.511451433280109</v>
      </c>
      <c r="M225" s="8" t="n">
        <v>637915.923166769</v>
      </c>
      <c r="N225" s="9" t="n">
        <f aca="false">I225/M225</f>
        <v>0.925449057721144</v>
      </c>
    </row>
    <row r="226" customFormat="false" ht="15" hidden="false" customHeight="false" outlineLevel="0" collapsed="false">
      <c r="A226" s="2" t="s">
        <v>272</v>
      </c>
      <c r="B226" s="3" t="s">
        <v>268</v>
      </c>
      <c r="C226" s="3" t="s">
        <v>21</v>
      </c>
      <c r="D226" s="3" t="s">
        <v>45</v>
      </c>
      <c r="E226" s="3" t="s">
        <v>36</v>
      </c>
      <c r="F226" s="3" t="s">
        <v>23</v>
      </c>
      <c r="G226" s="3" t="n">
        <v>51</v>
      </c>
      <c r="H226" s="4" t="n">
        <v>138.65</v>
      </c>
      <c r="I226" s="4" t="n">
        <v>7071.15</v>
      </c>
      <c r="J226" s="4" t="n">
        <v>4315.97139248303</v>
      </c>
      <c r="K226" s="4" t="n">
        <v>2755.17860751697</v>
      </c>
      <c r="L226" s="5" t="n">
        <f aca="false">K226/I226</f>
        <v>0.38963656654391</v>
      </c>
      <c r="M226" s="4" t="n">
        <v>7437.93006271145</v>
      </c>
      <c r="N226" s="5" t="n">
        <f aca="false">I226/M226</f>
        <v>0.950687884986951</v>
      </c>
    </row>
    <row r="227" customFormat="false" ht="15" hidden="false" customHeight="false" outlineLevel="0" collapsed="false">
      <c r="A227" s="6" t="s">
        <v>273</v>
      </c>
      <c r="B227" s="7" t="s">
        <v>268</v>
      </c>
      <c r="C227" s="7" t="s">
        <v>27</v>
      </c>
      <c r="D227" s="7" t="s">
        <v>51</v>
      </c>
      <c r="E227" s="7" t="s">
        <v>22</v>
      </c>
      <c r="F227" s="7" t="s">
        <v>23</v>
      </c>
      <c r="G227" s="7" t="n">
        <v>264</v>
      </c>
      <c r="H227" s="8" t="n">
        <v>1783.54</v>
      </c>
      <c r="I227" s="8" t="n">
        <v>470854.56</v>
      </c>
      <c r="J227" s="8" t="n">
        <v>276106.463490389</v>
      </c>
      <c r="K227" s="8" t="n">
        <v>194748.096509611</v>
      </c>
      <c r="L227" s="9" t="n">
        <f aca="false">K227/I227</f>
        <v>0.413605629113183</v>
      </c>
      <c r="M227" s="8" t="n">
        <v>506012.116992654</v>
      </c>
      <c r="N227" s="9" t="n">
        <f aca="false">I227/M227</f>
        <v>0.930520325873611</v>
      </c>
    </row>
    <row r="228" customFormat="false" ht="15" hidden="false" customHeight="false" outlineLevel="0" collapsed="false">
      <c r="A228" s="2" t="s">
        <v>274</v>
      </c>
      <c r="B228" s="3" t="s">
        <v>268</v>
      </c>
      <c r="C228" s="3" t="s">
        <v>40</v>
      </c>
      <c r="D228" s="3" t="s">
        <v>28</v>
      </c>
      <c r="E228" s="3" t="s">
        <v>59</v>
      </c>
      <c r="F228" s="3" t="s">
        <v>38</v>
      </c>
      <c r="G228" s="3" t="n">
        <v>162</v>
      </c>
      <c r="H228" s="4" t="n">
        <v>934.41</v>
      </c>
      <c r="I228" s="4" t="n">
        <v>151374.42</v>
      </c>
      <c r="J228" s="4" t="n">
        <v>94178.1090040316</v>
      </c>
      <c r="K228" s="4" t="n">
        <v>57196.3109959684</v>
      </c>
      <c r="L228" s="5" t="n">
        <f aca="false">K228/I228</f>
        <v>0.377846607081754</v>
      </c>
      <c r="M228" s="4" t="n">
        <v>137043.524593094</v>
      </c>
      <c r="N228" s="5" t="n">
        <f aca="false">I228/M228</f>
        <v>1.10457185371915</v>
      </c>
    </row>
    <row r="229" customFormat="false" ht="15" hidden="false" customHeight="false" outlineLevel="0" collapsed="false">
      <c r="A229" s="6" t="s">
        <v>275</v>
      </c>
      <c r="B229" s="7" t="s">
        <v>268</v>
      </c>
      <c r="C229" s="7" t="s">
        <v>32</v>
      </c>
      <c r="D229" s="7" t="s">
        <v>28</v>
      </c>
      <c r="E229" s="7" t="s">
        <v>54</v>
      </c>
      <c r="F229" s="7" t="s">
        <v>19</v>
      </c>
      <c r="G229" s="7" t="n">
        <v>184</v>
      </c>
      <c r="H229" s="8" t="n">
        <v>1232.99</v>
      </c>
      <c r="I229" s="8" t="n">
        <v>226870.16</v>
      </c>
      <c r="J229" s="8" t="n">
        <v>119820.482404338</v>
      </c>
      <c r="K229" s="8" t="n">
        <v>107049.677595662</v>
      </c>
      <c r="L229" s="9" t="n">
        <f aca="false">K229/I229</f>
        <v>0.471854375188267</v>
      </c>
      <c r="M229" s="8" t="n">
        <v>249880.921939232</v>
      </c>
      <c r="N229" s="9" t="n">
        <f aca="false">I229/M229</f>
        <v>0.907913090120469</v>
      </c>
    </row>
    <row r="230" customFormat="false" ht="15" hidden="false" customHeight="false" outlineLevel="0" collapsed="false">
      <c r="A230" s="2" t="s">
        <v>276</v>
      </c>
      <c r="B230" s="3" t="s">
        <v>268</v>
      </c>
      <c r="C230" s="3" t="s">
        <v>40</v>
      </c>
      <c r="D230" s="3" t="s">
        <v>28</v>
      </c>
      <c r="E230" s="3" t="s">
        <v>41</v>
      </c>
      <c r="F230" s="3" t="s">
        <v>30</v>
      </c>
      <c r="G230" s="3" t="n">
        <v>273</v>
      </c>
      <c r="H230" s="4" t="n">
        <v>1145.22</v>
      </c>
      <c r="I230" s="4" t="n">
        <v>312645.06</v>
      </c>
      <c r="J230" s="4" t="n">
        <v>165632.778362867</v>
      </c>
      <c r="K230" s="4" t="n">
        <v>147012.281637133</v>
      </c>
      <c r="L230" s="5" t="n">
        <f aca="false">K230/I230</f>
        <v>0.470221028399211</v>
      </c>
      <c r="M230" s="4" t="n">
        <v>316792.421298771</v>
      </c>
      <c r="N230" s="5" t="n">
        <f aca="false">I230/M230</f>
        <v>0.986908268569786</v>
      </c>
    </row>
    <row r="231" customFormat="false" ht="15" hidden="false" customHeight="false" outlineLevel="0" collapsed="false">
      <c r="A231" s="6" t="s">
        <v>277</v>
      </c>
      <c r="B231" s="7" t="s">
        <v>268</v>
      </c>
      <c r="C231" s="7" t="s">
        <v>40</v>
      </c>
      <c r="D231" s="7" t="s">
        <v>28</v>
      </c>
      <c r="E231" s="7" t="s">
        <v>59</v>
      </c>
      <c r="F231" s="7" t="s">
        <v>19</v>
      </c>
      <c r="G231" s="7" t="n">
        <v>59</v>
      </c>
      <c r="H231" s="8" t="n">
        <v>148.68</v>
      </c>
      <c r="I231" s="8" t="n">
        <v>8772.12</v>
      </c>
      <c r="J231" s="8" t="n">
        <v>6020.71143124494</v>
      </c>
      <c r="K231" s="8" t="n">
        <v>2751.40856875506</v>
      </c>
      <c r="L231" s="9" t="n">
        <f aca="false">K231/I231</f>
        <v>0.313653776824195</v>
      </c>
      <c r="M231" s="8" t="n">
        <v>10109.4941482645</v>
      </c>
      <c r="N231" s="9" t="n">
        <f aca="false">I231/M231</f>
        <v>0.867711071528337</v>
      </c>
    </row>
    <row r="232" customFormat="false" ht="15" hidden="false" customHeight="false" outlineLevel="0" collapsed="false">
      <c r="A232" s="2" t="s">
        <v>278</v>
      </c>
      <c r="B232" s="3" t="s">
        <v>268</v>
      </c>
      <c r="C232" s="3" t="s">
        <v>32</v>
      </c>
      <c r="D232" s="3" t="s">
        <v>25</v>
      </c>
      <c r="E232" s="3" t="s">
        <v>41</v>
      </c>
      <c r="F232" s="3" t="s">
        <v>30</v>
      </c>
      <c r="G232" s="3" t="n">
        <v>488</v>
      </c>
      <c r="H232" s="4" t="n">
        <v>1176.49</v>
      </c>
      <c r="I232" s="4" t="n">
        <v>574127.12</v>
      </c>
      <c r="J232" s="4" t="n">
        <v>303241.733223921</v>
      </c>
      <c r="K232" s="4" t="n">
        <v>270885.386776079</v>
      </c>
      <c r="L232" s="5" t="n">
        <f aca="false">K232/I232</f>
        <v>0.471821269784432</v>
      </c>
      <c r="M232" s="4" t="n">
        <v>641353.089061573</v>
      </c>
      <c r="N232" s="5" t="n">
        <f aca="false">I232/M232</f>
        <v>0.895181031777772</v>
      </c>
    </row>
    <row r="233" customFormat="false" ht="15" hidden="false" customHeight="false" outlineLevel="0" collapsed="false">
      <c r="A233" s="6" t="s">
        <v>279</v>
      </c>
      <c r="B233" s="7" t="s">
        <v>268</v>
      </c>
      <c r="C233" s="7" t="s">
        <v>32</v>
      </c>
      <c r="D233" s="7" t="s">
        <v>51</v>
      </c>
      <c r="E233" s="7" t="s">
        <v>54</v>
      </c>
      <c r="F233" s="7" t="s">
        <v>38</v>
      </c>
      <c r="G233" s="7" t="n">
        <v>460</v>
      </c>
      <c r="H233" s="8" t="n">
        <v>651.65</v>
      </c>
      <c r="I233" s="8" t="n">
        <v>299759</v>
      </c>
      <c r="J233" s="8" t="n">
        <v>136628.375994259</v>
      </c>
      <c r="K233" s="8" t="n">
        <v>163130.624005741</v>
      </c>
      <c r="L233" s="9" t="n">
        <f aca="false">K233/I233</f>
        <v>0.544205925445912</v>
      </c>
      <c r="M233" s="8" t="n">
        <v>353964.864040247</v>
      </c>
      <c r="N233" s="9" t="n">
        <f aca="false">I233/M233</f>
        <v>0.846860890593697</v>
      </c>
    </row>
    <row r="234" customFormat="false" ht="15" hidden="false" customHeight="false" outlineLevel="0" collapsed="false">
      <c r="A234" s="2" t="s">
        <v>280</v>
      </c>
      <c r="B234" s="3" t="s">
        <v>268</v>
      </c>
      <c r="C234" s="3" t="s">
        <v>21</v>
      </c>
      <c r="D234" s="3" t="s">
        <v>28</v>
      </c>
      <c r="E234" s="3" t="s">
        <v>59</v>
      </c>
      <c r="F234" s="3" t="s">
        <v>19</v>
      </c>
      <c r="G234" s="3" t="n">
        <v>308</v>
      </c>
      <c r="H234" s="4" t="n">
        <v>738.15</v>
      </c>
      <c r="I234" s="4" t="n">
        <v>227350.2</v>
      </c>
      <c r="J234" s="4" t="n">
        <v>105180.182775058</v>
      </c>
      <c r="K234" s="4" t="n">
        <v>122170.017224942</v>
      </c>
      <c r="L234" s="5" t="n">
        <f aca="false">K234/I234</f>
        <v>0.537364898843027</v>
      </c>
      <c r="M234" s="4" t="n">
        <v>232627.673652601</v>
      </c>
      <c r="N234" s="5" t="n">
        <f aca="false">I234/M234</f>
        <v>0.977313646438805</v>
      </c>
    </row>
    <row r="235" customFormat="false" ht="15" hidden="false" customHeight="false" outlineLevel="0" collapsed="false">
      <c r="A235" s="6" t="s">
        <v>281</v>
      </c>
      <c r="B235" s="7" t="s">
        <v>268</v>
      </c>
      <c r="C235" s="7" t="s">
        <v>32</v>
      </c>
      <c r="D235" s="7" t="s">
        <v>45</v>
      </c>
      <c r="E235" s="7" t="s">
        <v>36</v>
      </c>
      <c r="F235" s="7" t="s">
        <v>23</v>
      </c>
      <c r="G235" s="7" t="n">
        <v>230</v>
      </c>
      <c r="H235" s="8" t="n">
        <v>311.17</v>
      </c>
      <c r="I235" s="8" t="n">
        <v>71569.1</v>
      </c>
      <c r="J235" s="8" t="n">
        <v>36938.1168531065</v>
      </c>
      <c r="K235" s="8" t="n">
        <v>34630.9831468935</v>
      </c>
      <c r="L235" s="9" t="n">
        <f aca="false">K235/I235</f>
        <v>0.483881775052272</v>
      </c>
      <c r="M235" s="8" t="n">
        <v>69996.1667675974</v>
      </c>
      <c r="N235" s="9" t="n">
        <f aca="false">I235/M235</f>
        <v>1.02247170530959</v>
      </c>
    </row>
    <row r="236" customFormat="false" ht="15" hidden="false" customHeight="false" outlineLevel="0" collapsed="false">
      <c r="A236" s="2" t="s">
        <v>282</v>
      </c>
      <c r="B236" s="3" t="s">
        <v>268</v>
      </c>
      <c r="C236" s="3" t="s">
        <v>32</v>
      </c>
      <c r="D236" s="3" t="s">
        <v>45</v>
      </c>
      <c r="E236" s="3" t="s">
        <v>36</v>
      </c>
      <c r="F236" s="3" t="s">
        <v>38</v>
      </c>
      <c r="G236" s="3" t="n">
        <v>36</v>
      </c>
      <c r="H236" s="4" t="n">
        <v>1162.05</v>
      </c>
      <c r="I236" s="4" t="n">
        <v>41833.8</v>
      </c>
      <c r="J236" s="4" t="n">
        <v>20861.0027420276</v>
      </c>
      <c r="K236" s="4" t="n">
        <v>20972.7972579724</v>
      </c>
      <c r="L236" s="5" t="n">
        <f aca="false">K236/I236</f>
        <v>0.50133617452807</v>
      </c>
      <c r="M236" s="4" t="n">
        <v>43658.9260436894</v>
      </c>
      <c r="N236" s="5" t="n">
        <f aca="false">I236/M236</f>
        <v>0.958195809904647</v>
      </c>
    </row>
    <row r="237" customFormat="false" ht="15" hidden="false" customHeight="false" outlineLevel="0" collapsed="false">
      <c r="A237" s="6" t="s">
        <v>283</v>
      </c>
      <c r="B237" s="7" t="s">
        <v>268</v>
      </c>
      <c r="C237" s="7" t="s">
        <v>16</v>
      </c>
      <c r="D237" s="7" t="s">
        <v>28</v>
      </c>
      <c r="E237" s="7" t="s">
        <v>54</v>
      </c>
      <c r="F237" s="7" t="s">
        <v>30</v>
      </c>
      <c r="G237" s="7" t="n">
        <v>432</v>
      </c>
      <c r="H237" s="8" t="n">
        <v>1978.73</v>
      </c>
      <c r="I237" s="8" t="n">
        <v>854811.36</v>
      </c>
      <c r="J237" s="8" t="n">
        <v>530068.233725539</v>
      </c>
      <c r="K237" s="8" t="n">
        <v>324743.126274462</v>
      </c>
      <c r="L237" s="9" t="n">
        <f aca="false">K237/I237</f>
        <v>0.379900339970285</v>
      </c>
      <c r="M237" s="8" t="n">
        <v>762136.009273518</v>
      </c>
      <c r="N237" s="9" t="n">
        <f aca="false">I237/M237</f>
        <v>1.12159949090297</v>
      </c>
    </row>
    <row r="238" customFormat="false" ht="15" hidden="false" customHeight="false" outlineLevel="0" collapsed="false">
      <c r="A238" s="2" t="s">
        <v>284</v>
      </c>
      <c r="B238" s="3" t="s">
        <v>268</v>
      </c>
      <c r="C238" s="3" t="s">
        <v>16</v>
      </c>
      <c r="D238" s="3" t="s">
        <v>28</v>
      </c>
      <c r="E238" s="3" t="s">
        <v>29</v>
      </c>
      <c r="F238" s="3" t="s">
        <v>30</v>
      </c>
      <c r="G238" s="3" t="n">
        <v>295</v>
      </c>
      <c r="H238" s="4" t="n">
        <v>1880.95</v>
      </c>
      <c r="I238" s="4" t="n">
        <v>554880.25</v>
      </c>
      <c r="J238" s="4" t="n">
        <v>354424.92838578</v>
      </c>
      <c r="K238" s="4" t="n">
        <v>200455.32161422</v>
      </c>
      <c r="L238" s="5" t="n">
        <f aca="false">K238/I238</f>
        <v>0.361258706926802</v>
      </c>
      <c r="M238" s="4" t="n">
        <v>510306.862978103</v>
      </c>
      <c r="N238" s="5" t="n">
        <f aca="false">I238/M238</f>
        <v>1.08734624253684</v>
      </c>
    </row>
    <row r="239" customFormat="false" ht="15" hidden="false" customHeight="false" outlineLevel="0" collapsed="false">
      <c r="A239" s="6" t="s">
        <v>285</v>
      </c>
      <c r="B239" s="7" t="s">
        <v>268</v>
      </c>
      <c r="C239" s="7" t="s">
        <v>21</v>
      </c>
      <c r="D239" s="7" t="s">
        <v>28</v>
      </c>
      <c r="E239" s="7" t="s">
        <v>36</v>
      </c>
      <c r="F239" s="7" t="s">
        <v>23</v>
      </c>
      <c r="G239" s="7" t="n">
        <v>29</v>
      </c>
      <c r="H239" s="8" t="n">
        <v>317.22</v>
      </c>
      <c r="I239" s="8" t="n">
        <v>9199.38</v>
      </c>
      <c r="J239" s="8" t="n">
        <v>4905.66300100204</v>
      </c>
      <c r="K239" s="8" t="n">
        <v>4293.71699899797</v>
      </c>
      <c r="L239" s="9" t="n">
        <f aca="false">K239/I239</f>
        <v>0.466739823661808</v>
      </c>
      <c r="M239" s="8" t="n">
        <v>9344.82636179188</v>
      </c>
      <c r="N239" s="9" t="n">
        <f aca="false">I239/M239</f>
        <v>0.984435627141606</v>
      </c>
    </row>
    <row r="240" customFormat="false" ht="15" hidden="false" customHeight="false" outlineLevel="0" collapsed="false">
      <c r="A240" s="2" t="s">
        <v>286</v>
      </c>
      <c r="B240" s="3" t="s">
        <v>268</v>
      </c>
      <c r="C240" s="3" t="s">
        <v>32</v>
      </c>
      <c r="D240" s="3" t="s">
        <v>25</v>
      </c>
      <c r="E240" s="3" t="s">
        <v>41</v>
      </c>
      <c r="F240" s="3" t="s">
        <v>30</v>
      </c>
      <c r="G240" s="3" t="n">
        <v>486</v>
      </c>
      <c r="H240" s="4" t="n">
        <v>1245.48</v>
      </c>
      <c r="I240" s="4" t="n">
        <v>605303.28</v>
      </c>
      <c r="J240" s="4" t="n">
        <v>296977.231344006</v>
      </c>
      <c r="K240" s="4" t="n">
        <v>308326.048655995</v>
      </c>
      <c r="L240" s="5" t="n">
        <f aca="false">K240/I240</f>
        <v>0.509374488530765</v>
      </c>
      <c r="M240" s="4" t="n">
        <v>724375.822307882</v>
      </c>
      <c r="N240" s="5" t="n">
        <f aca="false">I240/M240</f>
        <v>0.835620490578339</v>
      </c>
    </row>
    <row r="241" customFormat="false" ht="15" hidden="false" customHeight="false" outlineLevel="0" collapsed="false">
      <c r="A241" s="6" t="s">
        <v>287</v>
      </c>
      <c r="B241" s="7" t="s">
        <v>268</v>
      </c>
      <c r="C241" s="7" t="s">
        <v>40</v>
      </c>
      <c r="D241" s="7" t="s">
        <v>51</v>
      </c>
      <c r="E241" s="7" t="s">
        <v>29</v>
      </c>
      <c r="F241" s="7" t="s">
        <v>38</v>
      </c>
      <c r="G241" s="7" t="n">
        <v>372</v>
      </c>
      <c r="H241" s="8" t="n">
        <v>1147.7</v>
      </c>
      <c r="I241" s="8" t="n">
        <v>426944.4</v>
      </c>
      <c r="J241" s="8" t="n">
        <v>242813.16404265</v>
      </c>
      <c r="K241" s="8" t="n">
        <v>184131.23595735</v>
      </c>
      <c r="L241" s="9" t="n">
        <f aca="false">K241/I241</f>
        <v>0.431276850000492</v>
      </c>
      <c r="M241" s="8" t="n">
        <v>365388.809244667</v>
      </c>
      <c r="N241" s="9" t="n">
        <f aca="false">I241/M241</f>
        <v>1.16846599895213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4" min="11" style="0" width="12"/>
  </cols>
  <sheetData>
    <row r="1" customFormat="false" ht="39.75" hidden="false" customHeight="true" outlineLevel="0" collapsed="false">
      <c r="A1" s="10" t="s">
        <v>288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21.75" hidden="false" customHeight="true" outlineLevel="0" collapsed="false">
      <c r="A2" s="11" t="s">
        <v>289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customFormat="false" ht="24.75" hidden="false" customHeight="true" outlineLevel="0" collapsed="false">
      <c r="A4" s="12" t="s">
        <v>290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21.75" hidden="false" customHeight="true" outlineLevel="0" collapsed="false">
      <c r="B5" s="13" t="s">
        <v>291</v>
      </c>
      <c r="D5" s="13" t="s">
        <v>292</v>
      </c>
      <c r="F5" s="13" t="s">
        <v>293</v>
      </c>
      <c r="H5" s="13" t="s">
        <v>294</v>
      </c>
      <c r="J5" s="13" t="s">
        <v>295</v>
      </c>
    </row>
    <row r="6" customFormat="false" ht="19.5" hidden="false" customHeight="true" outlineLevel="0" collapsed="false">
      <c r="B6" s="14" t="s">
        <v>296</v>
      </c>
      <c r="D6" s="15" t="n">
        <f aca="false">SUMIF('Raw Sales Data'!B:B,"Dec",'Raw Sales Data'!I:I)</f>
        <v>5875993.11</v>
      </c>
      <c r="F6" s="15" t="s">
        <v>297</v>
      </c>
      <c r="H6" s="15" t="n">
        <f aca="false">D6-F6</f>
        <v>875993.11</v>
      </c>
      <c r="J6" s="15" t="str">
        <f aca="false">IF(H6&gt;=0,"✅ On Track","⚠️ Below Target")</f>
        <v>✅ On Track</v>
      </c>
    </row>
    <row r="7" customFormat="false" ht="19.5" hidden="false" customHeight="true" outlineLevel="0" collapsed="false">
      <c r="B7" s="16" t="s">
        <v>298</v>
      </c>
      <c r="D7" s="17" t="n">
        <f aca="false">SUMIF('Raw Sales Data'!B:B,"Dec",'Raw Sales Data'!G:G)</f>
        <v>4875</v>
      </c>
      <c r="F7" s="17" t="s">
        <v>299</v>
      </c>
      <c r="H7" s="17" t="n">
        <f aca="false">D7-F7</f>
        <v>-45125</v>
      </c>
      <c r="J7" s="17" t="str">
        <f aca="false">IF(H7&gt;=0,"✅ On Track","⚠️ Below Target")</f>
        <v>⚠️ Below Target</v>
      </c>
    </row>
    <row r="8" customFormat="false" ht="19.5" hidden="false" customHeight="true" outlineLevel="0" collapsed="false">
      <c r="B8" s="14" t="s">
        <v>300</v>
      </c>
      <c r="D8" s="15" t="n">
        <f aca="false">AVERAGEIF('Raw Sales Data'!B:B,"Dec",'Raw Sales Data'!L:L)</f>
        <v>0.437666668765827</v>
      </c>
      <c r="F8" s="15" t="s">
        <v>301</v>
      </c>
      <c r="H8" s="15" t="n">
        <f aca="false">D8-F8</f>
        <v>0.0876666687658275</v>
      </c>
      <c r="J8" s="15" t="str">
        <f aca="false">IF(H8&gt;=0,"✅ On Track","⚠️ Below Target")</f>
        <v>✅ On Track</v>
      </c>
    </row>
    <row r="9" customFormat="false" ht="19.5" hidden="false" customHeight="true" outlineLevel="0" collapsed="false">
      <c r="B9" s="16" t="s">
        <v>302</v>
      </c>
      <c r="D9" s="17" t="n">
        <f aca="false">COUNTIF('Raw Sales Data'!B:B,"Dec")</f>
        <v>20</v>
      </c>
      <c r="F9" s="17" t="s">
        <v>303</v>
      </c>
      <c r="H9" s="17" t="n">
        <f aca="false">D9-F9</f>
        <v>0</v>
      </c>
      <c r="J9" s="17" t="str">
        <f aca="false">IF(H9&gt;=0,"✅ On Track","⚠️ Below Target")</f>
        <v>✅ On Track</v>
      </c>
    </row>
    <row r="11" customFormat="false" ht="24.75" hidden="false" customHeight="true" outlineLevel="0" collapsed="false">
      <c r="A11" s="12" t="s">
        <v>304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24.75" hidden="false" customHeight="true" outlineLevel="0" collapsed="false">
      <c r="A12" s="18" t="s">
        <v>1</v>
      </c>
      <c r="B12" s="18" t="s">
        <v>8</v>
      </c>
      <c r="C12" s="18" t="s">
        <v>9</v>
      </c>
      <c r="D12" s="18" t="s">
        <v>10</v>
      </c>
      <c r="E12" s="18" t="s">
        <v>11</v>
      </c>
      <c r="F12" s="18" t="s">
        <v>6</v>
      </c>
      <c r="G12" s="18" t="s">
        <v>305</v>
      </c>
      <c r="H12" s="18" t="s">
        <v>12</v>
      </c>
      <c r="I12" s="18" t="s">
        <v>13</v>
      </c>
    </row>
    <row r="13" customFormat="false" ht="18" hidden="false" customHeight="true" outlineLevel="0" collapsed="false">
      <c r="A13" s="19" t="s">
        <v>15</v>
      </c>
      <c r="B13" s="20" t="n">
        <f aca="false">SUMIF('Raw Sales Data'!B:B,"Jan",'Raw Sales Data'!I:I)</f>
        <v>5656673.8</v>
      </c>
      <c r="C13" s="20" t="n">
        <f aca="false">SUMIF('Raw Sales Data'!B:B,"Jan",'Raw Sales Data'!J:J)</f>
        <v>3353010.79691208</v>
      </c>
      <c r="D13" s="20" t="n">
        <f aca="false">B13-C13</f>
        <v>2303663.00308792</v>
      </c>
      <c r="E13" s="21" t="n">
        <f aca="false">D13/B13</f>
        <v>0.407246923640518</v>
      </c>
      <c r="F13" s="22" t="n">
        <f aca="false">SUMIF('Raw Sales Data'!B:B,"Jan",'Raw Sales Data'!G:G)</f>
        <v>5037</v>
      </c>
      <c r="G13" s="22" t="n">
        <f aca="false">COUNTIF('Raw Sales Data'!B:B,"Jan")</f>
        <v>20</v>
      </c>
      <c r="H13" s="20" t="n">
        <f aca="false">SUMIF('Raw Sales Data'!B:B,"Jan",'Raw Sales Data'!M:M)</f>
        <v>5908418.06954713</v>
      </c>
      <c r="I13" s="21" t="n">
        <f aca="false">B13/H13</f>
        <v>0.957392272079619</v>
      </c>
    </row>
    <row r="14" customFormat="false" ht="18" hidden="false" customHeight="true" outlineLevel="0" collapsed="false">
      <c r="A14" s="23" t="s">
        <v>57</v>
      </c>
      <c r="B14" s="24" t="n">
        <f aca="false">SUMIF('Raw Sales Data'!B:B,"Feb",'Raw Sales Data'!I:I)</f>
        <v>6357919.93</v>
      </c>
      <c r="C14" s="24" t="n">
        <f aca="false">SUMIF('Raw Sales Data'!B:B,"Feb",'Raw Sales Data'!J:J)</f>
        <v>3785584.4452592</v>
      </c>
      <c r="D14" s="24" t="n">
        <f aca="false">B14-C14</f>
        <v>2572335.4847408</v>
      </c>
      <c r="E14" s="25" t="n">
        <f aca="false">D14/B14</f>
        <v>0.404587587302441</v>
      </c>
      <c r="F14" s="26" t="n">
        <f aca="false">SUMIF('Raw Sales Data'!B:B,"Feb",'Raw Sales Data'!G:G)</f>
        <v>5391</v>
      </c>
      <c r="G14" s="26" t="n">
        <f aca="false">COUNTIF('Raw Sales Data'!B:B,"Feb")</f>
        <v>20</v>
      </c>
      <c r="H14" s="24" t="n">
        <f aca="false">SUMIF('Raw Sales Data'!B:B,"Feb",'Raw Sales Data'!M:M)</f>
        <v>6122858.31737109</v>
      </c>
      <c r="I14" s="25" t="n">
        <f aca="false">B14/H14</f>
        <v>1.03839082997593</v>
      </c>
    </row>
    <row r="15" customFormat="false" ht="18" hidden="false" customHeight="true" outlineLevel="0" collapsed="false">
      <c r="A15" s="19" t="s">
        <v>79</v>
      </c>
      <c r="B15" s="20" t="n">
        <f aca="false">SUMIF('Raw Sales Data'!B:B,"Mar",'Raw Sales Data'!I:I)</f>
        <v>4802104.68</v>
      </c>
      <c r="C15" s="20" t="n">
        <f aca="false">SUMIF('Raw Sales Data'!B:B,"Mar",'Raw Sales Data'!J:J)</f>
        <v>2746509.91505835</v>
      </c>
      <c r="D15" s="20" t="n">
        <f aca="false">B15-C15</f>
        <v>2055594.76494165</v>
      </c>
      <c r="E15" s="21" t="n">
        <f aca="false">D15/B15</f>
        <v>0.428061215221499</v>
      </c>
      <c r="F15" s="22" t="n">
        <f aca="false">SUMIF('Raw Sales Data'!B:B,"Mar",'Raw Sales Data'!G:G)</f>
        <v>5242</v>
      </c>
      <c r="G15" s="22" t="n">
        <f aca="false">COUNTIF('Raw Sales Data'!B:B,"Mar")</f>
        <v>20</v>
      </c>
      <c r="H15" s="20" t="n">
        <f aca="false">SUMIF('Raw Sales Data'!B:B,"Mar",'Raw Sales Data'!M:M)</f>
        <v>5128165.05731072</v>
      </c>
      <c r="I15" s="21" t="n">
        <f aca="false">B15/H15</f>
        <v>0.936417729603714</v>
      </c>
    </row>
    <row r="16" customFormat="false" ht="18" hidden="false" customHeight="true" outlineLevel="0" collapsed="false">
      <c r="A16" s="23" t="s">
        <v>100</v>
      </c>
      <c r="B16" s="24" t="n">
        <f aca="false">SUMIF('Raw Sales Data'!B:B,"Apr",'Raw Sales Data'!I:I)</f>
        <v>5735149.33</v>
      </c>
      <c r="C16" s="24" t="n">
        <f aca="false">SUMIF('Raw Sales Data'!B:B,"Apr",'Raw Sales Data'!J:J)</f>
        <v>3295244.20307844</v>
      </c>
      <c r="D16" s="24" t="n">
        <f aca="false">B16-C16</f>
        <v>2439905.12692156</v>
      </c>
      <c r="E16" s="25" t="n">
        <f aca="false">D16/B16</f>
        <v>0.425430095456915</v>
      </c>
      <c r="F16" s="26" t="n">
        <f aca="false">SUMIF('Raw Sales Data'!B:B,"Apr",'Raw Sales Data'!G:G)</f>
        <v>5016</v>
      </c>
      <c r="G16" s="26" t="n">
        <f aca="false">COUNTIF('Raw Sales Data'!B:B,"Apr")</f>
        <v>20</v>
      </c>
      <c r="H16" s="24" t="n">
        <f aca="false">SUMIF('Raw Sales Data'!B:B,"Apr",'Raw Sales Data'!M:M)</f>
        <v>5715908.88223557</v>
      </c>
      <c r="I16" s="25" t="n">
        <f aca="false">B16/H16</f>
        <v>1.00336612219698</v>
      </c>
    </row>
    <row r="17" customFormat="false" ht="18" hidden="false" customHeight="true" outlineLevel="0" collapsed="false">
      <c r="A17" s="19" t="s">
        <v>121</v>
      </c>
      <c r="B17" s="20" t="n">
        <f aca="false">SUMIF('Raw Sales Data'!B:B,"May",'Raw Sales Data'!I:I)</f>
        <v>4355944.97</v>
      </c>
      <c r="C17" s="20" t="n">
        <f aca="false">SUMIF('Raw Sales Data'!B:B,"May",'Raw Sales Data'!J:J)</f>
        <v>2442282.13509063</v>
      </c>
      <c r="D17" s="20" t="n">
        <f aca="false">B17-C17</f>
        <v>1913662.83490937</v>
      </c>
      <c r="E17" s="21" t="n">
        <f aca="false">D17/B17</f>
        <v>0.439322086961391</v>
      </c>
      <c r="F17" s="22" t="n">
        <f aca="false">SUMIF('Raw Sales Data'!B:B,"May",'Raw Sales Data'!G:G)</f>
        <v>5248</v>
      </c>
      <c r="G17" s="22" t="n">
        <f aca="false">COUNTIF('Raw Sales Data'!B:B,"May")</f>
        <v>20</v>
      </c>
      <c r="H17" s="20" t="n">
        <f aca="false">SUMIF('Raw Sales Data'!B:B,"May",'Raw Sales Data'!M:M)</f>
        <v>4514207.29363678</v>
      </c>
      <c r="I17" s="21" t="n">
        <f aca="false">B17/H17</f>
        <v>0.964941281305387</v>
      </c>
    </row>
    <row r="18" customFormat="false" ht="18" hidden="false" customHeight="true" outlineLevel="0" collapsed="false">
      <c r="A18" s="23" t="s">
        <v>142</v>
      </c>
      <c r="B18" s="24" t="n">
        <f aca="false">SUMIF('Raw Sales Data'!B:B,"Jun",'Raw Sales Data'!I:I)</f>
        <v>4820767.34</v>
      </c>
      <c r="C18" s="24" t="n">
        <f aca="false">SUMIF('Raw Sales Data'!B:B,"Jun",'Raw Sales Data'!J:J)</f>
        <v>2720470.44318333</v>
      </c>
      <c r="D18" s="24" t="n">
        <f aca="false">B18-C18</f>
        <v>2100296.89681667</v>
      </c>
      <c r="E18" s="25" t="n">
        <f aca="false">D18/B18</f>
        <v>0.435676884754341</v>
      </c>
      <c r="F18" s="26" t="n">
        <f aca="false">SUMIF('Raw Sales Data'!B:B,"Jun",'Raw Sales Data'!G:G)</f>
        <v>5437</v>
      </c>
      <c r="G18" s="26" t="n">
        <f aca="false">COUNTIF('Raw Sales Data'!B:B,"Jun")</f>
        <v>20</v>
      </c>
      <c r="H18" s="24" t="n">
        <f aca="false">SUMIF('Raw Sales Data'!B:B,"Jun",'Raw Sales Data'!M:M)</f>
        <v>5074422.17846531</v>
      </c>
      <c r="I18" s="25" t="n">
        <f aca="false">B18/H18</f>
        <v>0.950013059705249</v>
      </c>
    </row>
    <row r="19" customFormat="false" ht="18" hidden="false" customHeight="true" outlineLevel="0" collapsed="false">
      <c r="A19" s="19" t="s">
        <v>163</v>
      </c>
      <c r="B19" s="20" t="n">
        <f aca="false">SUMIF('Raw Sales Data'!B:B,"Jul",'Raw Sales Data'!I:I)</f>
        <v>5348235.15</v>
      </c>
      <c r="C19" s="20" t="n">
        <f aca="false">SUMIF('Raw Sales Data'!B:B,"Jul",'Raw Sales Data'!J:J)</f>
        <v>3216673.3313313</v>
      </c>
      <c r="D19" s="20" t="n">
        <f aca="false">B19-C19</f>
        <v>2131561.8186687</v>
      </c>
      <c r="E19" s="21" t="n">
        <f aca="false">D19/B19</f>
        <v>0.398554244322766</v>
      </c>
      <c r="F19" s="22" t="n">
        <f aca="false">SUMIF('Raw Sales Data'!B:B,"Jul",'Raw Sales Data'!G:G)</f>
        <v>5503</v>
      </c>
      <c r="G19" s="22" t="n">
        <f aca="false">COUNTIF('Raw Sales Data'!B:B,"Jul")</f>
        <v>20</v>
      </c>
      <c r="H19" s="20" t="n">
        <f aca="false">SUMIF('Raw Sales Data'!B:B,"Jul",'Raw Sales Data'!M:M)</f>
        <v>5388471.46612039</v>
      </c>
      <c r="I19" s="21" t="n">
        <f aca="false">B19/H19</f>
        <v>0.992532888710023</v>
      </c>
    </row>
    <row r="20" customFormat="false" ht="18" hidden="false" customHeight="true" outlineLevel="0" collapsed="false">
      <c r="A20" s="23" t="s">
        <v>184</v>
      </c>
      <c r="B20" s="24" t="n">
        <f aca="false">SUMIF('Raw Sales Data'!B:B,"Aug",'Raw Sales Data'!I:I)</f>
        <v>3972146.43</v>
      </c>
      <c r="C20" s="24" t="n">
        <f aca="false">SUMIF('Raw Sales Data'!B:B,"Aug",'Raw Sales Data'!J:J)</f>
        <v>2358309.23180951</v>
      </c>
      <c r="D20" s="24" t="n">
        <f aca="false">B20-C20</f>
        <v>1613837.19819049</v>
      </c>
      <c r="E20" s="25" t="n">
        <f aca="false">D20/B20</f>
        <v>0.406288445461587</v>
      </c>
      <c r="F20" s="26" t="n">
        <f aca="false">SUMIF('Raw Sales Data'!B:B,"Aug",'Raw Sales Data'!G:G)</f>
        <v>4616</v>
      </c>
      <c r="G20" s="26" t="n">
        <f aca="false">COUNTIF('Raw Sales Data'!B:B,"Aug")</f>
        <v>20</v>
      </c>
      <c r="H20" s="24" t="n">
        <f aca="false">SUMIF('Raw Sales Data'!B:B,"Aug",'Raw Sales Data'!M:M)</f>
        <v>4037942.32168117</v>
      </c>
      <c r="I20" s="25" t="n">
        <f aca="false">B20/H20</f>
        <v>0.983705589025409</v>
      </c>
    </row>
    <row r="21" customFormat="false" ht="18" hidden="false" customHeight="true" outlineLevel="0" collapsed="false">
      <c r="A21" s="19" t="s">
        <v>205</v>
      </c>
      <c r="B21" s="20" t="n">
        <f aca="false">SUMIF('Raw Sales Data'!B:B,"Sep",'Raw Sales Data'!I:I)</f>
        <v>4694757.83</v>
      </c>
      <c r="C21" s="20" t="n">
        <f aca="false">SUMIF('Raw Sales Data'!B:B,"Sep",'Raw Sales Data'!J:J)</f>
        <v>2682850.76151149</v>
      </c>
      <c r="D21" s="20" t="n">
        <f aca="false">B21-C21</f>
        <v>2011907.06848851</v>
      </c>
      <c r="E21" s="21" t="n">
        <f aca="false">D21/B21</f>
        <v>0.428543311783243</v>
      </c>
      <c r="F21" s="22" t="n">
        <f aca="false">SUMIF('Raw Sales Data'!B:B,"Sep",'Raw Sales Data'!G:G)</f>
        <v>4655</v>
      </c>
      <c r="G21" s="22" t="n">
        <f aca="false">COUNTIF('Raw Sales Data'!B:B,"Sep")</f>
        <v>20</v>
      </c>
      <c r="H21" s="20" t="n">
        <f aca="false">SUMIF('Raw Sales Data'!B:B,"Sep",'Raw Sales Data'!M:M)</f>
        <v>4775204.38188512</v>
      </c>
      <c r="I21" s="21" t="n">
        <f aca="false">B21/H21</f>
        <v>0.983153275660766</v>
      </c>
    </row>
    <row r="22" customFormat="false" ht="18" hidden="false" customHeight="true" outlineLevel="0" collapsed="false">
      <c r="A22" s="23" t="s">
        <v>226</v>
      </c>
      <c r="B22" s="24" t="n">
        <f aca="false">SUMIF('Raw Sales Data'!B:B,"Oct",'Raw Sales Data'!I:I)</f>
        <v>4307887.7</v>
      </c>
      <c r="C22" s="24" t="n">
        <f aca="false">SUMIF('Raw Sales Data'!B:B,"Oct",'Raw Sales Data'!J:J)</f>
        <v>2476457.77953176</v>
      </c>
      <c r="D22" s="24" t="n">
        <f aca="false">B22-C22</f>
        <v>1831429.92046824</v>
      </c>
      <c r="E22" s="25" t="n">
        <f aca="false">D22/B22</f>
        <v>0.425134090767556</v>
      </c>
      <c r="F22" s="26" t="n">
        <f aca="false">SUMIF('Raw Sales Data'!B:B,"Oct",'Raw Sales Data'!G:G)</f>
        <v>4541</v>
      </c>
      <c r="G22" s="26" t="n">
        <f aca="false">COUNTIF('Raw Sales Data'!B:B,"Oct")</f>
        <v>20</v>
      </c>
      <c r="H22" s="24" t="n">
        <f aca="false">SUMIF('Raw Sales Data'!B:B,"Oct",'Raw Sales Data'!M:M)</f>
        <v>4332824.3821211</v>
      </c>
      <c r="I22" s="25" t="n">
        <f aca="false">B22/H22</f>
        <v>0.994244705087979</v>
      </c>
    </row>
    <row r="23" customFormat="false" ht="18" hidden="false" customHeight="true" outlineLevel="0" collapsed="false">
      <c r="A23" s="19" t="s">
        <v>247</v>
      </c>
      <c r="B23" s="20" t="n">
        <f aca="false">SUMIF('Raw Sales Data'!B:B,"Nov",'Raw Sales Data'!I:I)</f>
        <v>5749971.98</v>
      </c>
      <c r="C23" s="20" t="n">
        <f aca="false">SUMIF('Raw Sales Data'!B:B,"Nov",'Raw Sales Data'!J:J)</f>
        <v>3291793.89001522</v>
      </c>
      <c r="D23" s="20" t="n">
        <f aca="false">B23-C23</f>
        <v>2458178.08998479</v>
      </c>
      <c r="E23" s="21" t="n">
        <f aca="false">D23/B23</f>
        <v>0.427511316322064</v>
      </c>
      <c r="F23" s="22" t="n">
        <f aca="false">SUMIF('Raw Sales Data'!B:B,"Nov",'Raw Sales Data'!G:G)</f>
        <v>5285</v>
      </c>
      <c r="G23" s="22" t="n">
        <f aca="false">COUNTIF('Raw Sales Data'!B:B,"Nov")</f>
        <v>20</v>
      </c>
      <c r="H23" s="20" t="n">
        <f aca="false">SUMIF('Raw Sales Data'!B:B,"Nov",'Raw Sales Data'!M:M)</f>
        <v>6071367.56621883</v>
      </c>
      <c r="I23" s="21" t="n">
        <f aca="false">B23/H23</f>
        <v>0.94706372448819</v>
      </c>
    </row>
    <row r="24" customFormat="false" ht="18" hidden="false" customHeight="true" outlineLevel="0" collapsed="false">
      <c r="A24" s="23" t="s">
        <v>268</v>
      </c>
      <c r="B24" s="24" t="n">
        <f aca="false">SUMIF('Raw Sales Data'!B:B,"Dec",'Raw Sales Data'!I:I)</f>
        <v>5875993.11</v>
      </c>
      <c r="C24" s="24" t="n">
        <f aca="false">SUMIF('Raw Sales Data'!B:B,"Dec",'Raw Sales Data'!J:J)</f>
        <v>3267822.59186082</v>
      </c>
      <c r="D24" s="24" t="n">
        <f aca="false">B24-C24</f>
        <v>2608170.51813918</v>
      </c>
      <c r="E24" s="25" t="n">
        <f aca="false">D24/B24</f>
        <v>0.443868886384582</v>
      </c>
      <c r="F24" s="26" t="n">
        <f aca="false">SUMIF('Raw Sales Data'!B:B,"Dec",'Raw Sales Data'!G:G)</f>
        <v>4875</v>
      </c>
      <c r="G24" s="26" t="n">
        <f aca="false">COUNTIF('Raw Sales Data'!B:B,"Dec")</f>
        <v>20</v>
      </c>
      <c r="H24" s="24" t="n">
        <f aca="false">SUMIF('Raw Sales Data'!B:B,"Dec",'Raw Sales Data'!M:M)</f>
        <v>6037323.73033821</v>
      </c>
      <c r="I24" s="25" t="n">
        <f aca="false">B24/H24</f>
        <v>0.973277792024386</v>
      </c>
    </row>
    <row r="25" customFormat="false" ht="21.75" hidden="false" customHeight="true" outlineLevel="0" collapsed="false">
      <c r="A25" s="27" t="s">
        <v>306</v>
      </c>
      <c r="B25" s="28" t="n">
        <f aca="false">SUM(B13:B24)</f>
        <v>61677552.25</v>
      </c>
      <c r="C25" s="28" t="n">
        <f aca="false">SUM(C13:C24)</f>
        <v>35637009.5246421</v>
      </c>
      <c r="D25" s="28" t="n">
        <f aca="false">SUM(D13:D24)</f>
        <v>26040542.7253579</v>
      </c>
      <c r="E25" s="29" t="n">
        <f aca="false">D25/B25</f>
        <v>0.422204542420989</v>
      </c>
      <c r="F25" s="27" t="n">
        <f aca="false">SUM(F13:F24)</f>
        <v>60846</v>
      </c>
      <c r="G25" s="27" t="n">
        <f aca="false">SUM(G13:G24)</f>
        <v>240</v>
      </c>
      <c r="H25" s="28" t="n">
        <f aca="false">SUM(H13:H24)</f>
        <v>63107113.6469314</v>
      </c>
      <c r="I25" s="29" t="n">
        <f aca="false">B25/H25</f>
        <v>0.97734706415303</v>
      </c>
    </row>
    <row r="27" customFormat="false" ht="24.75" hidden="false" customHeight="true" outlineLevel="0" collapsed="false">
      <c r="A27" s="12" t="s">
        <v>307</v>
      </c>
      <c r="B27" s="12"/>
      <c r="C27" s="12"/>
      <c r="D27" s="12"/>
      <c r="E27" s="12"/>
      <c r="G27" s="12" t="s">
        <v>308</v>
      </c>
      <c r="H27" s="12"/>
      <c r="I27" s="12"/>
      <c r="J27" s="12"/>
      <c r="K27" s="12"/>
    </row>
    <row r="28" customFormat="false" ht="15" hidden="false" customHeight="false" outlineLevel="0" collapsed="false">
      <c r="A28" s="18" t="s">
        <v>2</v>
      </c>
      <c r="B28" s="18" t="s">
        <v>309</v>
      </c>
      <c r="C28" s="18" t="s">
        <v>6</v>
      </c>
      <c r="D28" s="18" t="s">
        <v>310</v>
      </c>
      <c r="E28" s="18" t="s">
        <v>311</v>
      </c>
      <c r="G28" s="18" t="s">
        <v>3</v>
      </c>
      <c r="H28" s="18" t="s">
        <v>309</v>
      </c>
      <c r="I28" s="18" t="s">
        <v>312</v>
      </c>
      <c r="J28" s="18" t="s">
        <v>310</v>
      </c>
      <c r="K28" s="18" t="s">
        <v>311</v>
      </c>
    </row>
    <row r="29" customFormat="false" ht="18" hidden="false" customHeight="true" outlineLevel="0" collapsed="false">
      <c r="A29" s="19" t="s">
        <v>16</v>
      </c>
      <c r="B29" s="20" t="n">
        <f aca="false">SUMIF('Raw Sales Data'!C:C,"Dubai",'Raw Sales Data'!I:I)</f>
        <v>12276741.77</v>
      </c>
      <c r="C29" s="22" t="n">
        <f aca="false">SUMIF('Raw Sales Data'!C:C,"Dubai",'Raw Sales Data'!G:G)</f>
        <v>11745</v>
      </c>
      <c r="D29" s="20" t="n">
        <f aca="false">SUMIF('Raw Sales Data'!C:C,"Dubai",'Raw Sales Data'!K:K)</f>
        <v>5310077.6780796</v>
      </c>
      <c r="E29" s="21" t="n">
        <f aca="false">D29/B29</f>
        <v>0.432531511826333</v>
      </c>
      <c r="G29" s="19" t="s">
        <v>17</v>
      </c>
      <c r="H29" s="20" t="n">
        <f aca="false">SUMIF('Raw Sales Data'!D:D,"Electronics",'Raw Sales Data'!I:I)</f>
        <v>12545134.2</v>
      </c>
      <c r="I29" s="22" t="n">
        <f aca="false">SUMIF('Raw Sales Data'!D:D,"Electronics",'Raw Sales Data'!G:G)</f>
        <v>12847</v>
      </c>
      <c r="J29" s="20" t="n">
        <f aca="false">SUMIF('Raw Sales Data'!D:D,"Electronics",'Raw Sales Data'!K:K)</f>
        <v>5463156.54428104</v>
      </c>
      <c r="K29" s="21" t="n">
        <f aca="false">J29/H29</f>
        <v>0.435480119796649</v>
      </c>
    </row>
    <row r="30" customFormat="false" ht="18" hidden="false" customHeight="true" outlineLevel="0" collapsed="false">
      <c r="A30" s="23" t="s">
        <v>27</v>
      </c>
      <c r="B30" s="24" t="n">
        <f aca="false">SUMIF('Raw Sales Data'!C:C,"Abu Dhabi",'Raw Sales Data'!I:I)</f>
        <v>10378321.99</v>
      </c>
      <c r="C30" s="26" t="n">
        <f aca="false">SUMIF('Raw Sales Data'!C:C,"Abu Dhabi",'Raw Sales Data'!G:G)</f>
        <v>9954</v>
      </c>
      <c r="D30" s="24" t="n">
        <f aca="false">SUMIF('Raw Sales Data'!C:C,"Abu Dhabi",'Raw Sales Data'!K:K)</f>
        <v>4328336.8292863</v>
      </c>
      <c r="E30" s="25" t="n">
        <f aca="false">D30/B30</f>
        <v>0.417055554207786</v>
      </c>
      <c r="G30" s="23" t="s">
        <v>25</v>
      </c>
      <c r="H30" s="24" t="n">
        <f aca="false">SUMIF('Raw Sales Data'!D:D,"Furniture",'Raw Sales Data'!I:I)</f>
        <v>12092698.28</v>
      </c>
      <c r="I30" s="26" t="n">
        <f aca="false">SUMIF('Raw Sales Data'!D:D,"Furniture",'Raw Sales Data'!G:G)</f>
        <v>11391</v>
      </c>
      <c r="J30" s="24" t="n">
        <f aca="false">SUMIF('Raw Sales Data'!D:D,"Furniture",'Raw Sales Data'!K:K)</f>
        <v>4980199.07224371</v>
      </c>
      <c r="K30" s="25" t="n">
        <f aca="false">J30/H30</f>
        <v>0.411835221298824</v>
      </c>
    </row>
    <row r="31" customFormat="false" ht="18" hidden="false" customHeight="true" outlineLevel="0" collapsed="false">
      <c r="A31" s="19" t="s">
        <v>40</v>
      </c>
      <c r="B31" s="20" t="n">
        <f aca="false">SUMIF('Raw Sales Data'!C:C,"Sharjah",'Raw Sales Data'!I:I)</f>
        <v>14085546.44</v>
      </c>
      <c r="C31" s="22" t="n">
        <f aca="false">SUMIF('Raw Sales Data'!C:C,"Sharjah",'Raw Sales Data'!G:G)</f>
        <v>13414</v>
      </c>
      <c r="D31" s="20" t="n">
        <f aca="false">SUMIF('Raw Sales Data'!C:C,"Sharjah",'Raw Sales Data'!K:K)</f>
        <v>5963930.63426825</v>
      </c>
      <c r="E31" s="21" t="n">
        <f aca="false">D31/B31</f>
        <v>0.423407828703893</v>
      </c>
      <c r="G31" s="19" t="s">
        <v>45</v>
      </c>
      <c r="H31" s="20" t="n">
        <f aca="false">SUMIF('Raw Sales Data'!D:D,"Clothing",'Raw Sales Data'!I:I)</f>
        <v>10485985.56</v>
      </c>
      <c r="I31" s="22" t="n">
        <f aca="false">SUMIF('Raw Sales Data'!D:D,"Clothing",'Raw Sales Data'!G:G)</f>
        <v>9760</v>
      </c>
      <c r="J31" s="20" t="n">
        <f aca="false">SUMIF('Raw Sales Data'!D:D,"Clothing",'Raw Sales Data'!K:K)</f>
        <v>4247988.42381635</v>
      </c>
      <c r="K31" s="21" t="n">
        <f aca="false">J31/H31</f>
        <v>0.405111031243529</v>
      </c>
    </row>
    <row r="32" customFormat="false" ht="18" hidden="false" customHeight="true" outlineLevel="0" collapsed="false">
      <c r="A32" s="23" t="s">
        <v>32</v>
      </c>
      <c r="B32" s="24" t="n">
        <f aca="false">SUMIF('Raw Sales Data'!C:C,"Riyadh",'Raw Sales Data'!I:I)</f>
        <v>14090261.43</v>
      </c>
      <c r="C32" s="26" t="n">
        <f aca="false">SUMIF('Raw Sales Data'!C:C,"Riyadh",'Raw Sales Data'!G:G)</f>
        <v>14702</v>
      </c>
      <c r="D32" s="24" t="n">
        <f aca="false">SUMIF('Raw Sales Data'!C:C,"Riyadh",'Raw Sales Data'!K:K)</f>
        <v>5886330.11334145</v>
      </c>
      <c r="E32" s="25" t="n">
        <f aca="false">D32/B32</f>
        <v>0.417758757889949</v>
      </c>
      <c r="G32" s="23" t="s">
        <v>28</v>
      </c>
      <c r="H32" s="24" t="n">
        <f aca="false">SUMIF('Raw Sales Data'!D:D,"Food &amp; Beverage",'Raw Sales Data'!I:I)</f>
        <v>13868857.85</v>
      </c>
      <c r="I32" s="26" t="n">
        <f aca="false">SUMIF('Raw Sales Data'!D:D,"Food &amp; Beverage",'Raw Sales Data'!G:G)</f>
        <v>14193</v>
      </c>
      <c r="J32" s="24" t="n">
        <f aca="false">SUMIF('Raw Sales Data'!D:D,"Food &amp; Beverage",'Raw Sales Data'!K:K)</f>
        <v>5968427.93185243</v>
      </c>
      <c r="K32" s="25" t="n">
        <f aca="false">J32/H32</f>
        <v>0.430347473195309</v>
      </c>
    </row>
    <row r="33" customFormat="false" ht="18" hidden="false" customHeight="true" outlineLevel="0" collapsed="false">
      <c r="A33" s="19" t="s">
        <v>21</v>
      </c>
      <c r="B33" s="20" t="n">
        <f aca="false">SUMIF('Raw Sales Data'!C:C,"Jeddah",'Raw Sales Data'!I:I)</f>
        <v>10846680.62</v>
      </c>
      <c r="C33" s="22" t="n">
        <f aca="false">SUMIF('Raw Sales Data'!C:C,"Jeddah",'Raw Sales Data'!G:G)</f>
        <v>11031</v>
      </c>
      <c r="D33" s="20" t="n">
        <f aca="false">SUMIF('Raw Sales Data'!C:C,"Jeddah",'Raw Sales Data'!K:K)</f>
        <v>4551867.47038228</v>
      </c>
      <c r="E33" s="21" t="n">
        <f aca="false">D33/B33</f>
        <v>0.419655342482305</v>
      </c>
      <c r="G33" s="19" t="s">
        <v>51</v>
      </c>
      <c r="H33" s="20" t="n">
        <f aca="false">SUMIF('Raw Sales Data'!D:D,"Automotive",'Raw Sales Data'!I:I)</f>
        <v>12684876.36</v>
      </c>
      <c r="I33" s="22" t="n">
        <f aca="false">SUMIF('Raw Sales Data'!D:D,"Automotive",'Raw Sales Data'!G:G)</f>
        <v>12655</v>
      </c>
      <c r="J33" s="20" t="n">
        <f aca="false">SUMIF('Raw Sales Data'!D:D,"Automotive",'Raw Sales Data'!K:K)</f>
        <v>5380770.75316436</v>
      </c>
      <c r="K33" s="21" t="n">
        <f aca="false">J33/H33</f>
        <v>0.424187875423987</v>
      </c>
    </row>
  </sheetData>
  <mergeCells count="6">
    <mergeCell ref="A1:N1"/>
    <mergeCell ref="A2:N2"/>
    <mergeCell ref="A4:N4"/>
    <mergeCell ref="A11:N11"/>
    <mergeCell ref="A27:E27"/>
    <mergeCell ref="G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34.5" hidden="false" customHeight="true" outlineLevel="0" collapsed="false">
      <c r="A1" s="30" t="s">
        <v>313</v>
      </c>
      <c r="B1" s="30"/>
      <c r="C1" s="30"/>
      <c r="D1" s="30"/>
      <c r="E1" s="30"/>
      <c r="F1" s="30"/>
      <c r="G1" s="30"/>
      <c r="H1" s="30"/>
    </row>
    <row r="2" customFormat="false" ht="24.75" hidden="false" customHeight="true" outlineLevel="0" collapsed="false">
      <c r="A2" s="13" t="s">
        <v>4</v>
      </c>
      <c r="B2" s="13" t="s">
        <v>296</v>
      </c>
      <c r="C2" s="13" t="s">
        <v>6</v>
      </c>
      <c r="D2" s="13" t="s">
        <v>305</v>
      </c>
      <c r="E2" s="13" t="s">
        <v>314</v>
      </c>
      <c r="F2" s="13" t="s">
        <v>10</v>
      </c>
      <c r="G2" s="13" t="s">
        <v>315</v>
      </c>
      <c r="H2" s="13" t="s">
        <v>316</v>
      </c>
    </row>
    <row r="3" customFormat="false" ht="19.5" hidden="false" customHeight="true" outlineLevel="0" collapsed="false">
      <c r="A3" s="19" t="s">
        <v>36</v>
      </c>
      <c r="B3" s="20" t="n">
        <f aca="false">SUMIF('Raw Sales Data'!E:E,"Ahmed Al-Rashid",'Raw Sales Data'!I:I)</f>
        <v>8825381.79</v>
      </c>
      <c r="C3" s="22" t="n">
        <f aca="false">SUMIF('Raw Sales Data'!E:E,"Ahmed Al-Rashid",'Raw Sales Data'!G:G)</f>
        <v>8264</v>
      </c>
      <c r="D3" s="22" t="n">
        <f aca="false">COUNTIF('Raw Sales Data'!E:E,"Ahmed Al-Rashid")</f>
        <v>29</v>
      </c>
      <c r="E3" s="20" t="n">
        <f aca="false">B3/D3</f>
        <v>304323.51</v>
      </c>
      <c r="F3" s="20" t="n">
        <f aca="false">SUMIF('Raw Sales Data'!E:E,"Ahmed Al-Rashid",'Raw Sales Data'!K:K)</f>
        <v>3643609.00605292</v>
      </c>
      <c r="G3" s="21" t="n">
        <f aca="false">F3/B3</f>
        <v>0.412855680666584</v>
      </c>
      <c r="H3" s="22" t="str">
        <f aca="false">IF(G3&gt;=0.35,"🏆 Top Performer",IF(G3&gt;=0.3,"✅ On Track","⚠️ Needs Improvement"))</f>
        <v>🏆 Top Performer</v>
      </c>
    </row>
    <row r="4" customFormat="false" ht="19.5" hidden="false" customHeight="true" outlineLevel="0" collapsed="false">
      <c r="A4" s="23" t="s">
        <v>34</v>
      </c>
      <c r="B4" s="24" t="n">
        <f aca="false">SUMIF('Raw Sales Data'!E:E,"Sara Mohammed",'Raw Sales Data'!I:I)</f>
        <v>7622769.68</v>
      </c>
      <c r="C4" s="26" t="n">
        <f aca="false">SUMIF('Raw Sales Data'!E:E,"Sara Mohammed",'Raw Sales Data'!G:G)</f>
        <v>7690</v>
      </c>
      <c r="D4" s="26" t="n">
        <f aca="false">COUNTIF('Raw Sales Data'!E:E,"Sara Mohammed")</f>
        <v>33</v>
      </c>
      <c r="E4" s="24" t="n">
        <f aca="false">B4/D4</f>
        <v>230993.020606061</v>
      </c>
      <c r="F4" s="24" t="n">
        <f aca="false">SUMIF('Raw Sales Data'!E:E,"Sara Mohammed",'Raw Sales Data'!K:K)</f>
        <v>3402040.91312299</v>
      </c>
      <c r="G4" s="25" t="n">
        <f aca="false">F4/B4</f>
        <v>0.446299843224831</v>
      </c>
      <c r="H4" s="26" t="str">
        <f aca="false">IF(G4&gt;=0.35,"🏆 Top Performer",IF(G4&gt;=0.3,"✅ On Track","⚠️ Needs Improvement"))</f>
        <v>🏆 Top Performer</v>
      </c>
    </row>
    <row r="5" customFormat="false" ht="19.5" hidden="false" customHeight="true" outlineLevel="0" collapsed="false">
      <c r="A5" s="19" t="s">
        <v>41</v>
      </c>
      <c r="B5" s="20" t="n">
        <f aca="false">SUMIF('Raw Sales Data'!E:E,"Khalid Hassan",'Raw Sales Data'!I:I)</f>
        <v>7664819.36</v>
      </c>
      <c r="C5" s="22" t="n">
        <f aca="false">SUMIF('Raw Sales Data'!E:E,"Khalid Hassan",'Raw Sales Data'!G:G)</f>
        <v>7903</v>
      </c>
      <c r="D5" s="22" t="n">
        <f aca="false">COUNTIF('Raw Sales Data'!E:E,"Khalid Hassan")</f>
        <v>32</v>
      </c>
      <c r="E5" s="20" t="n">
        <f aca="false">B5/D5</f>
        <v>239525.605</v>
      </c>
      <c r="F5" s="20" t="n">
        <f aca="false">SUMIF('Raw Sales Data'!E:E,"Khalid Hassan",'Raw Sales Data'!K:K)</f>
        <v>3081849.55119183</v>
      </c>
      <c r="G5" s="21" t="n">
        <f aca="false">F5/B5</f>
        <v>0.402077257981437</v>
      </c>
      <c r="H5" s="22" t="str">
        <f aca="false">IF(G5&gt;=0.35,"🏆 Top Performer",IF(G5&gt;=0.3,"✅ On Track","⚠️ Needs Improvement"))</f>
        <v>🏆 Top Performer</v>
      </c>
    </row>
    <row r="6" customFormat="false" ht="19.5" hidden="false" customHeight="true" outlineLevel="0" collapsed="false">
      <c r="A6" s="23" t="s">
        <v>59</v>
      </c>
      <c r="B6" s="24" t="n">
        <f aca="false">SUMIF('Raw Sales Data'!E:E,"Fatima Al-Ali",'Raw Sales Data'!I:I)</f>
        <v>5496842.65</v>
      </c>
      <c r="C6" s="26" t="n">
        <f aca="false">SUMIF('Raw Sales Data'!E:E,"Fatima Al-Ali",'Raw Sales Data'!G:G)</f>
        <v>7188</v>
      </c>
      <c r="D6" s="26" t="n">
        <f aca="false">COUNTIF('Raw Sales Data'!E:E,"Fatima Al-Ali")</f>
        <v>30</v>
      </c>
      <c r="E6" s="24" t="n">
        <f aca="false">B6/D6</f>
        <v>183228.088333333</v>
      </c>
      <c r="F6" s="24" t="n">
        <f aca="false">SUMIF('Raw Sales Data'!E:E,"Fatima Al-Ali",'Raw Sales Data'!K:K)</f>
        <v>2318419.58029635</v>
      </c>
      <c r="G6" s="25" t="n">
        <f aca="false">F6/B6</f>
        <v>0.421772957298742</v>
      </c>
      <c r="H6" s="26" t="str">
        <f aca="false">IF(G6&gt;=0.35,"🏆 Top Performer",IF(G6&gt;=0.3,"✅ On Track","⚠️ Needs Improvement"))</f>
        <v>🏆 Top Performer</v>
      </c>
    </row>
    <row r="7" customFormat="false" ht="19.5" hidden="false" customHeight="true" outlineLevel="0" collapsed="false">
      <c r="A7" s="19" t="s">
        <v>18</v>
      </c>
      <c r="B7" s="20" t="n">
        <f aca="false">SUMIF('Raw Sales Data'!E:E,"Omar Yousef",'Raw Sales Data'!I:I)</f>
        <v>6044130.68</v>
      </c>
      <c r="C7" s="22" t="n">
        <f aca="false">SUMIF('Raw Sales Data'!E:E,"Omar Yousef",'Raw Sales Data'!G:G)</f>
        <v>6055</v>
      </c>
      <c r="D7" s="22" t="n">
        <f aca="false">COUNTIF('Raw Sales Data'!E:E,"Omar Yousef")</f>
        <v>26</v>
      </c>
      <c r="E7" s="20" t="n">
        <f aca="false">B7/D7</f>
        <v>232466.564615385</v>
      </c>
      <c r="F7" s="20" t="n">
        <f aca="false">SUMIF('Raw Sales Data'!E:E,"Omar Yousef",'Raw Sales Data'!K:K)</f>
        <v>2498974.30206679</v>
      </c>
      <c r="G7" s="21" t="n">
        <f aca="false">F7/B7</f>
        <v>0.413454710755325</v>
      </c>
      <c r="H7" s="22" t="str">
        <f aca="false">IF(G7&gt;=0.35,"🏆 Top Performer",IF(G7&gt;=0.3,"✅ On Track","⚠️ Needs Improvement"))</f>
        <v>🏆 Top Performer</v>
      </c>
    </row>
    <row r="8" customFormat="false" ht="19.5" hidden="false" customHeight="true" outlineLevel="0" collapsed="false">
      <c r="A8" s="23" t="s">
        <v>29</v>
      </c>
      <c r="B8" s="24" t="n">
        <f aca="false">SUMIF('Raw Sales Data'!E:E,"Layla Ibrahim",'Raw Sales Data'!I:I)</f>
        <v>10071955.83</v>
      </c>
      <c r="C8" s="26" t="n">
        <f aca="false">SUMIF('Raw Sales Data'!E:E,"Layla Ibrahim",'Raw Sales Data'!G:G)</f>
        <v>9159</v>
      </c>
      <c r="D8" s="26" t="n">
        <f aca="false">COUNTIF('Raw Sales Data'!E:E,"Layla Ibrahim")</f>
        <v>35</v>
      </c>
      <c r="E8" s="24" t="n">
        <f aca="false">B8/D8</f>
        <v>287770.166571429</v>
      </c>
      <c r="F8" s="24" t="n">
        <f aca="false">SUMIF('Raw Sales Data'!E:E,"Layla Ibrahim",'Raw Sales Data'!K:K)</f>
        <v>4058461.86025442</v>
      </c>
      <c r="G8" s="25" t="n">
        <f aca="false">F8/B8</f>
        <v>0.402946749246657</v>
      </c>
      <c r="H8" s="26" t="str">
        <f aca="false">IF(G8&gt;=0.35,"🏆 Top Performer",IF(G8&gt;=0.3,"✅ On Track","⚠️ Needs Improvement"))</f>
        <v>🏆 Top Performer</v>
      </c>
    </row>
    <row r="9" customFormat="false" ht="19.5" hidden="false" customHeight="true" outlineLevel="0" collapsed="false">
      <c r="A9" s="19" t="s">
        <v>22</v>
      </c>
      <c r="B9" s="20" t="n">
        <f aca="false">SUMIF('Raw Sales Data'!E:E,"Rami Nasser",'Raw Sales Data'!I:I)</f>
        <v>6392810.21</v>
      </c>
      <c r="C9" s="22" t="n">
        <f aca="false">SUMIF('Raw Sales Data'!E:E,"Rami Nasser",'Raw Sales Data'!G:G)</f>
        <v>4946</v>
      </c>
      <c r="D9" s="22" t="n">
        <f aca="false">COUNTIF('Raw Sales Data'!E:E,"Rami Nasser")</f>
        <v>22</v>
      </c>
      <c r="E9" s="20" t="n">
        <f aca="false">B9/D9</f>
        <v>290582.282272727</v>
      </c>
      <c r="F9" s="20" t="n">
        <f aca="false">SUMIF('Raw Sales Data'!E:E,"Rami Nasser",'Raw Sales Data'!K:K)</f>
        <v>2893090.62273725</v>
      </c>
      <c r="G9" s="21" t="n">
        <f aca="false">F9/B9</f>
        <v>0.452553810875178</v>
      </c>
      <c r="H9" s="22" t="str">
        <f aca="false">IF(G9&gt;=0.35,"🏆 Top Performer",IF(G9&gt;=0.3,"✅ On Track","⚠️ Needs Improvement"))</f>
        <v>🏆 Top Performer</v>
      </c>
    </row>
    <row r="10" customFormat="false" ht="19.5" hidden="false" customHeight="true" outlineLevel="0" collapsed="false">
      <c r="A10" s="23" t="s">
        <v>54</v>
      </c>
      <c r="B10" s="24" t="n">
        <f aca="false">SUMIF('Raw Sales Data'!E:E,"Hana Saeed",'Raw Sales Data'!I:I)</f>
        <v>9558842.05</v>
      </c>
      <c r="C10" s="26" t="n">
        <f aca="false">SUMIF('Raw Sales Data'!E:E,"Hana Saeed",'Raw Sales Data'!G:G)</f>
        <v>9641</v>
      </c>
      <c r="D10" s="26" t="n">
        <f aca="false">COUNTIF('Raw Sales Data'!E:E,"Hana Saeed")</f>
        <v>33</v>
      </c>
      <c r="E10" s="24" t="n">
        <f aca="false">B10/D10</f>
        <v>289661.88030303</v>
      </c>
      <c r="F10" s="24" t="n">
        <f aca="false">SUMIF('Raw Sales Data'!E:E,"Hana Saeed",'Raw Sales Data'!K:K)</f>
        <v>4144096.88963533</v>
      </c>
      <c r="G10" s="25" t="n">
        <f aca="false">F10/B10</f>
        <v>0.433535450001011</v>
      </c>
      <c r="H10" s="26" t="str">
        <f aca="false">IF(G10&gt;=0.35,"🏆 Top Performer",IF(G10&gt;=0.3,"✅ On Track","⚠️ Needs Improvement"))</f>
        <v>🏆 Top Performer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2026-06-27T12:33:30Z</dcterms:created>
  <dc:creator>openpyxl</dc:creator>
  <dc:description/>
  <dc:language>en-US</dc:language>
  <cp:lastModifiedBy/>
  <dcterms:modified xsi:type="dcterms:W3CDTF">2026-06-27T12:33:31Z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